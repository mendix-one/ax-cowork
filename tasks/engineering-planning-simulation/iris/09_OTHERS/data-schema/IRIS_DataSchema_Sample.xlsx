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danniel/Workspace/amai/ax-iris/09_OTHERS/data-schema/"/>
    </mc:Choice>
  </mc:AlternateContent>
  <xr:revisionPtr revIDLastSave="0" documentId="13_ncr:1_{410AF187-E667-D941-8B7F-45D1C6718613}" xr6:coauthVersionLast="47" xr6:coauthVersionMax="47" xr10:uidLastSave="{00000000-0000-0000-0000-000000000000}"/>
  <bookViews>
    <workbookView xWindow="-1160" yWindow="-23400" windowWidth="38400" windowHeight="23400" activeTab="5" xr2:uid="{15B1F93E-1533-4340-90A8-64B4FF3D990A}"/>
  </bookViews>
  <sheets>
    <sheet name="Cover" sheetId="1" r:id="rId1"/>
    <sheet name="Index" sheetId="7" r:id="rId2"/>
    <sheet name="Roadmap" sheetId="3" r:id="rId3"/>
    <sheet name="Tunning_Logic_01" sheetId="4" r:id="rId4"/>
    <sheet name="MST_TaskEfforts" sheetId="6" r:id="rId5"/>
    <sheet name="MST_Headcount" sheetId="9" r:id="rId6"/>
    <sheet name="ChangesHistory" sheetId="2" r:id="rId7"/>
    <sheet name="BrandKit"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 i="6" l="1"/>
  <c r="AA5" i="6"/>
  <c r="AB5" i="6"/>
  <c r="AC5" i="6"/>
  <c r="AD5" i="6"/>
  <c r="AE5" i="6"/>
  <c r="AF5" i="6"/>
  <c r="AG5" i="6"/>
  <c r="AH5" i="6"/>
  <c r="AI5" i="6"/>
  <c r="AJ5" i="6"/>
  <c r="AK5" i="6"/>
  <c r="AL5" i="6"/>
  <c r="AM5" i="6"/>
  <c r="AN5" i="6"/>
  <c r="AO5" i="6"/>
  <c r="AP5" i="6"/>
  <c r="AQ5" i="6"/>
  <c r="AR5" i="6"/>
  <c r="AS5" i="6"/>
  <c r="AT5" i="6"/>
  <c r="AU5" i="6"/>
  <c r="AV5" i="6"/>
  <c r="AW5" i="6"/>
  <c r="AX5" i="6"/>
  <c r="AY5" i="6"/>
  <c r="AZ5" i="6"/>
  <c r="BA5" i="6"/>
  <c r="BB5" i="6"/>
  <c r="BC5" i="6"/>
  <c r="BD5" i="6"/>
  <c r="BE5" i="6"/>
  <c r="BF5" i="6"/>
  <c r="BG5" i="6"/>
  <c r="BH5" i="6"/>
  <c r="BI5" i="6"/>
  <c r="BJ5" i="6"/>
  <c r="BK5" i="6"/>
  <c r="BL5" i="6"/>
  <c r="BM5" i="6"/>
  <c r="BN5" i="6"/>
  <c r="BO5" i="6"/>
  <c r="BP5" i="6"/>
  <c r="BQ5" i="6"/>
  <c r="BR5" i="6"/>
  <c r="BS5" i="6"/>
  <c r="BT5" i="6"/>
  <c r="BU5" i="6"/>
  <c r="BV5" i="6"/>
  <c r="BW5" i="6"/>
  <c r="BX5" i="6"/>
  <c r="BY5" i="6"/>
  <c r="BZ5" i="6"/>
  <c r="CA5" i="6"/>
  <c r="CB5" i="6"/>
  <c r="CC5" i="6"/>
  <c r="CD5" i="6"/>
  <c r="CE5" i="6"/>
  <c r="CF5" i="6"/>
  <c r="CG5" i="6"/>
  <c r="CH5" i="6"/>
  <c r="CI5" i="6"/>
  <c r="CJ5" i="6"/>
  <c r="CK5" i="6"/>
  <c r="CL5" i="6"/>
  <c r="CM5" i="6"/>
  <c r="CN5" i="6"/>
  <c r="CO5" i="6"/>
  <c r="CP5" i="6"/>
  <c r="CQ5" i="6"/>
  <c r="CR5" i="6"/>
  <c r="CS5" i="6"/>
  <c r="Y5"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6" i="6"/>
  <c r="BK4" i="6"/>
  <c r="BL4" i="6"/>
  <c r="BM4" i="6"/>
  <c r="BN4" i="6"/>
  <c r="BO4" i="6"/>
  <c r="BP4" i="6"/>
  <c r="BQ4" i="6"/>
  <c r="BR4" i="6"/>
  <c r="BS4" i="6"/>
  <c r="BT4" i="6"/>
  <c r="BU4" i="6"/>
  <c r="BV4" i="6"/>
  <c r="BW4" i="6"/>
  <c r="BX4" i="6"/>
  <c r="BY4" i="6"/>
  <c r="BZ4" i="6"/>
  <c r="CA4" i="6"/>
  <c r="CB4" i="6"/>
  <c r="CC4" i="6"/>
  <c r="CD4" i="6"/>
  <c r="CE4" i="6"/>
  <c r="CF4" i="6"/>
  <c r="CG4" i="6"/>
  <c r="CH4" i="6"/>
  <c r="CI4" i="6"/>
  <c r="CJ4" i="6"/>
  <c r="CK4" i="6"/>
  <c r="CL4" i="6"/>
  <c r="CM4" i="6"/>
  <c r="CN4" i="6"/>
  <c r="CO4" i="6"/>
  <c r="CP4" i="6"/>
  <c r="CQ4" i="6"/>
  <c r="CR4" i="6"/>
  <c r="CS4" i="6"/>
  <c r="BJ4" i="6"/>
  <c r="Y4" i="6"/>
  <c r="Z4" i="6"/>
  <c r="AA4" i="6"/>
  <c r="AB4" i="6"/>
  <c r="AC4" i="6"/>
  <c r="AD4" i="6"/>
  <c r="AE4" i="6"/>
  <c r="AF4" i="6"/>
  <c r="AG4" i="6"/>
  <c r="AH4" i="6"/>
  <c r="AI4" i="6"/>
  <c r="AJ4" i="6"/>
  <c r="AK4" i="6"/>
  <c r="AL4" i="6"/>
  <c r="AM4" i="6"/>
  <c r="AN4" i="6"/>
  <c r="AO4" i="6"/>
  <c r="AP4" i="6"/>
  <c r="AQ4" i="6"/>
  <c r="AR4" i="6"/>
  <c r="AS4" i="6"/>
  <c r="AT4" i="6"/>
  <c r="AU4" i="6"/>
  <c r="AV4" i="6"/>
  <c r="AW4" i="6"/>
  <c r="AX4" i="6"/>
  <c r="AY4" i="6"/>
  <c r="AZ4" i="6"/>
  <c r="BA4" i="6"/>
  <c r="BB4" i="6"/>
  <c r="BC4" i="6"/>
  <c r="BD4" i="6"/>
  <c r="BE4" i="6"/>
  <c r="BF4" i="6"/>
  <c r="BG4" i="6"/>
  <c r="BH4"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<sst xmlns="http://schemas.openxmlformats.org/spreadsheetml/2006/main" count="2124" uniqueCount="542">
  <si>
    <t>Code:</t>
  </si>
  <si>
    <t>Version:</t>
  </si>
  <si>
    <t>Logo</t>
  </si>
  <si>
    <t>Color</t>
  </si>
  <si>
    <t>Primary</t>
  </si>
  <si>
    <t>#3F51B5</t>
  </si>
  <si>
    <t>#009688</t>
  </si>
  <si>
    <t>Secondary</t>
  </si>
  <si>
    <t>Tertiary</t>
  </si>
  <si>
    <t>#673AB7</t>
  </si>
  <si>
    <t>Error</t>
  </si>
  <si>
    <t>Success</t>
  </si>
  <si>
    <t>Warning</t>
  </si>
  <si>
    <t>Info</t>
  </si>
  <si>
    <t>#F44336</t>
  </si>
  <si>
    <t>#4CAF50</t>
  </si>
  <si>
    <t>#FF9800</t>
  </si>
  <si>
    <t>#2196F3</t>
  </si>
  <si>
    <t>Copyright © 2026 Amoza AI. All rights reserved.
Unauthorized copying, modification, distribution, or use of this software, its documentation, or any associated materials, in whole or in part, without the prior written permission of Amoza AI, is strictly prohibited. This document is proprietary and confidential.</t>
  </si>
  <si>
    <t>Issued at:</t>
  </si>
  <si>
    <t>Issued by:</t>
  </si>
  <si>
    <t>v1.0.0</t>
  </si>
  <si>
    <t>AMAI</t>
  </si>
  <si>
    <t>Created By</t>
  </si>
  <si>
    <t>Reviewed By</t>
  </si>
  <si>
    <t>Approved By</t>
  </si>
  <si>
    <t>Agreed By</t>
  </si>
  <si>
    <t xml:space="preserve">Chief Executive Officer (CEO) </t>
  </si>
  <si>
    <t xml:space="preserve">Chief Experience Officer (CXO) </t>
  </si>
  <si>
    <t xml:space="preserve">Chief Production Officer (CPO) </t>
  </si>
  <si>
    <t xml:space="preserve">Chief AI &amp; Algorithm Officer (CAO) </t>
  </si>
  <si>
    <t xml:space="preserve">Chief Development Officer (CDO) </t>
  </si>
  <si>
    <t xml:space="preserve">Chief Operation Officer (COO) </t>
  </si>
  <si>
    <t>No.</t>
  </si>
  <si>
    <t>Issued Date</t>
  </si>
  <si>
    <t>Issued By</t>
  </si>
  <si>
    <t>Description</t>
  </si>
  <si>
    <t>Create document template</t>
  </si>
  <si>
    <t>Tabel Of Content</t>
  </si>
  <si>
    <t>AI-Powered Planning</t>
  </si>
  <si>
    <t>Data Schema Sample</t>
  </si>
  <si>
    <t>aPlanner</t>
  </si>
  <si>
    <t>No</t>
  </si>
  <si>
    <t>Site</t>
  </si>
  <si>
    <t>Line</t>
  </si>
  <si>
    <t>Group</t>
  </si>
  <si>
    <t>Part</t>
  </si>
  <si>
    <t>Block 1</t>
  </si>
  <si>
    <t>Block 2</t>
  </si>
  <si>
    <t>Stage 1</t>
  </si>
  <si>
    <t>Stage 2</t>
  </si>
  <si>
    <t>Function 1</t>
  </si>
  <si>
    <t>Function 2</t>
  </si>
  <si>
    <t>Activity 1</t>
  </si>
  <si>
    <t>Activity 2</t>
  </si>
  <si>
    <t>Skill 1</t>
  </si>
  <si>
    <t>Skill 2</t>
  </si>
  <si>
    <t>Skill 3</t>
  </si>
  <si>
    <t>Skill 4</t>
  </si>
  <si>
    <t>Skill 5</t>
  </si>
  <si>
    <t>Processes</t>
  </si>
  <si>
    <t>Organization Structure</t>
  </si>
  <si>
    <t>Skills Group 1</t>
  </si>
  <si>
    <t>Skill 6</t>
  </si>
  <si>
    <t>Skill 7</t>
  </si>
  <si>
    <t>Skill 8</t>
  </si>
  <si>
    <t>Skill 9</t>
  </si>
  <si>
    <t>Skills Group 2</t>
  </si>
  <si>
    <t>Skills Group 3</t>
  </si>
  <si>
    <t>Depart</t>
  </si>
  <si>
    <t>Summary</t>
  </si>
  <si>
    <t>MTO</t>
  </si>
  <si>
    <t>Depart 1</t>
  </si>
  <si>
    <t>Site 1</t>
  </si>
  <si>
    <t>Line 1</t>
  </si>
  <si>
    <t>Group 1</t>
  </si>
  <si>
    <t>Part 1</t>
  </si>
  <si>
    <t>Block 1.1</t>
  </si>
  <si>
    <t>State 1</t>
  </si>
  <si>
    <t>State 1.1</t>
  </si>
  <si>
    <t>Function 1.1</t>
  </si>
  <si>
    <t>Activity 1.1.</t>
  </si>
  <si>
    <t>Depart 2</t>
  </si>
  <si>
    <t>Site 2</t>
  </si>
  <si>
    <t>Line 2</t>
  </si>
  <si>
    <t>Group 2</t>
  </si>
  <si>
    <t>Part 2</t>
  </si>
  <si>
    <t>Block 1.2</t>
  </si>
  <si>
    <t>State 2</t>
  </si>
  <si>
    <t>State 1.2</t>
  </si>
  <si>
    <t>Function 1.2</t>
  </si>
  <si>
    <t>Depart 3</t>
  </si>
  <si>
    <t>Site 3</t>
  </si>
  <si>
    <t>Line 3</t>
  </si>
  <si>
    <t>Group 3</t>
  </si>
  <si>
    <t>Part 3</t>
  </si>
  <si>
    <t>Block 3</t>
  </si>
  <si>
    <t>Block 1.3</t>
  </si>
  <si>
    <t>State 3</t>
  </si>
  <si>
    <t>State 1.3</t>
  </si>
  <si>
    <t>Function 3</t>
  </si>
  <si>
    <t>Function 1.3</t>
  </si>
  <si>
    <t>Activity 3</t>
  </si>
  <si>
    <t>Depart 4</t>
  </si>
  <si>
    <t>Site 4</t>
  </si>
  <si>
    <t>Line 4</t>
  </si>
  <si>
    <t>Group 4</t>
  </si>
  <si>
    <t>Part 4</t>
  </si>
  <si>
    <t>Block 4</t>
  </si>
  <si>
    <t>Block 1.4</t>
  </si>
  <si>
    <t>State 4</t>
  </si>
  <si>
    <t>State 1.4</t>
  </si>
  <si>
    <t>Function 4</t>
  </si>
  <si>
    <t>Function 1.4</t>
  </si>
  <si>
    <t>Activity 4</t>
  </si>
  <si>
    <t>Depart 5</t>
  </si>
  <si>
    <t>Site 5</t>
  </si>
  <si>
    <t>Line 5</t>
  </si>
  <si>
    <t>Group 5</t>
  </si>
  <si>
    <t>Part 5</t>
  </si>
  <si>
    <t>Block 5</t>
  </si>
  <si>
    <t>Block 1.5</t>
  </si>
  <si>
    <t>State 5</t>
  </si>
  <si>
    <t>State 1.5</t>
  </si>
  <si>
    <t>Function 5</t>
  </si>
  <si>
    <t>Function 1.5</t>
  </si>
  <si>
    <t>Activity 5</t>
  </si>
  <si>
    <t>Depart 6</t>
  </si>
  <si>
    <t>Site 6</t>
  </si>
  <si>
    <t>Line 6</t>
  </si>
  <si>
    <t>Group 6</t>
  </si>
  <si>
    <t>Part 6</t>
  </si>
  <si>
    <t>Block 6</t>
  </si>
  <si>
    <t>Block 1.6</t>
  </si>
  <si>
    <t>State 6</t>
  </si>
  <si>
    <t>State 1.6</t>
  </si>
  <si>
    <t>Function 6</t>
  </si>
  <si>
    <t>Function 1.6</t>
  </si>
  <si>
    <t>Activity 6</t>
  </si>
  <si>
    <t>Depart 7</t>
  </si>
  <si>
    <t>Site 7</t>
  </si>
  <si>
    <t>Line 7</t>
  </si>
  <si>
    <t>Group 7</t>
  </si>
  <si>
    <t>Part 7</t>
  </si>
  <si>
    <t>Block 7</t>
  </si>
  <si>
    <t>Block 1.7</t>
  </si>
  <si>
    <t>State 7</t>
  </si>
  <si>
    <t>State 1.7</t>
  </si>
  <si>
    <t>Function 7</t>
  </si>
  <si>
    <t>Function 1.7</t>
  </si>
  <si>
    <t>Activity 7</t>
  </si>
  <si>
    <t>Depart 8</t>
  </si>
  <si>
    <t>Site 8</t>
  </si>
  <si>
    <t>Line 8</t>
  </si>
  <si>
    <t>Group 8</t>
  </si>
  <si>
    <t>Part 8</t>
  </si>
  <si>
    <t>Block 8</t>
  </si>
  <si>
    <t>Block 1.8</t>
  </si>
  <si>
    <t>State 8</t>
  </si>
  <si>
    <t>State 1.8</t>
  </si>
  <si>
    <t>Function 8</t>
  </si>
  <si>
    <t>Function 1.8</t>
  </si>
  <si>
    <t>Activity 8</t>
  </si>
  <si>
    <t>Depart 9</t>
  </si>
  <si>
    <t>Site 9</t>
  </si>
  <si>
    <t>Line 9</t>
  </si>
  <si>
    <t>Group 9</t>
  </si>
  <si>
    <t>Part 9</t>
  </si>
  <si>
    <t>Block 9</t>
  </si>
  <si>
    <t>Block 1.9</t>
  </si>
  <si>
    <t>State 9</t>
  </si>
  <si>
    <t>State 1.9</t>
  </si>
  <si>
    <t>Function 9</t>
  </si>
  <si>
    <t>Function 1.9</t>
  </si>
  <si>
    <t>Activity 9</t>
  </si>
  <si>
    <t>Depart 10</t>
  </si>
  <si>
    <t>Site 10</t>
  </si>
  <si>
    <t>Line 10</t>
  </si>
  <si>
    <t>Group 10</t>
  </si>
  <si>
    <t>Part 10</t>
  </si>
  <si>
    <t>Block 10</t>
  </si>
  <si>
    <t>Block 1.10</t>
  </si>
  <si>
    <t>State 10</t>
  </si>
  <si>
    <t>State 1.10</t>
  </si>
  <si>
    <t>Function 10</t>
  </si>
  <si>
    <t>Function 1.10</t>
  </si>
  <si>
    <t>Activity 10</t>
  </si>
  <si>
    <t>Depart 11</t>
  </si>
  <si>
    <t>Site 11</t>
  </si>
  <si>
    <t>Line 11</t>
  </si>
  <si>
    <t>Group 11</t>
  </si>
  <si>
    <t>Part 11</t>
  </si>
  <si>
    <t>Block 11</t>
  </si>
  <si>
    <t>Block 1.11</t>
  </si>
  <si>
    <t>State 11</t>
  </si>
  <si>
    <t>State 1.11</t>
  </si>
  <si>
    <t>Function 11</t>
  </si>
  <si>
    <t>Function 1.11</t>
  </si>
  <si>
    <t>Activity 11</t>
  </si>
  <si>
    <t>Depart 12</t>
  </si>
  <si>
    <t>Site 12</t>
  </si>
  <si>
    <t>Line 12</t>
  </si>
  <si>
    <t>Group 12</t>
  </si>
  <si>
    <t>Part 12</t>
  </si>
  <si>
    <t>Block 12</t>
  </si>
  <si>
    <t>Block 1.12</t>
  </si>
  <si>
    <t>State 12</t>
  </si>
  <si>
    <t>State 1.12</t>
  </si>
  <si>
    <t>Function 12</t>
  </si>
  <si>
    <t>Function 1.12</t>
  </si>
  <si>
    <t>Activity 12</t>
  </si>
  <si>
    <t>Depart 13</t>
  </si>
  <si>
    <t>Site 13</t>
  </si>
  <si>
    <t>Line 13</t>
  </si>
  <si>
    <t>Group 13</t>
  </si>
  <si>
    <t>Part 13</t>
  </si>
  <si>
    <t>Block 13</t>
  </si>
  <si>
    <t>Block 1.13</t>
  </si>
  <si>
    <t>State 13</t>
  </si>
  <si>
    <t>State 1.13</t>
  </si>
  <si>
    <t>Function 13</t>
  </si>
  <si>
    <t>Function 1.13</t>
  </si>
  <si>
    <t>Activity 13</t>
  </si>
  <si>
    <t>Depart 14</t>
  </si>
  <si>
    <t>Site 14</t>
  </si>
  <si>
    <t>Line 14</t>
  </si>
  <si>
    <t>Group 14</t>
  </si>
  <si>
    <t>Part 14</t>
  </si>
  <si>
    <t>Block 14</t>
  </si>
  <si>
    <t>Block 1.14</t>
  </si>
  <si>
    <t>State 14</t>
  </si>
  <si>
    <t>State 1.14</t>
  </si>
  <si>
    <t>Function 14</t>
  </si>
  <si>
    <t>Function 1.14</t>
  </si>
  <si>
    <t>Activity 14</t>
  </si>
  <si>
    <t>Depart 15</t>
  </si>
  <si>
    <t>Site 15</t>
  </si>
  <si>
    <t>Line 15</t>
  </si>
  <si>
    <t>Group 15</t>
  </si>
  <si>
    <t>Part 15</t>
  </si>
  <si>
    <t>Block 15</t>
  </si>
  <si>
    <t>Block 1.15</t>
  </si>
  <si>
    <t>State 15</t>
  </si>
  <si>
    <t>State 1.15</t>
  </si>
  <si>
    <t>Function 15</t>
  </si>
  <si>
    <t>Function 1.15</t>
  </si>
  <si>
    <t>Activity 15</t>
  </si>
  <si>
    <t>Depart 16</t>
  </si>
  <si>
    <t>Site 16</t>
  </si>
  <si>
    <t>Line 16</t>
  </si>
  <si>
    <t>Group 16</t>
  </si>
  <si>
    <t>Part 16</t>
  </si>
  <si>
    <t>Block 16</t>
  </si>
  <si>
    <t>Block 1.16</t>
  </si>
  <si>
    <t>State 16</t>
  </si>
  <si>
    <t>State 1.16</t>
  </si>
  <si>
    <t>Function 16</t>
  </si>
  <si>
    <t>Function 1.16</t>
  </si>
  <si>
    <t>Activity 16</t>
  </si>
  <si>
    <t>Depart 17</t>
  </si>
  <si>
    <t>Site 17</t>
  </si>
  <si>
    <t>Line 17</t>
  </si>
  <si>
    <t>Group 17</t>
  </si>
  <si>
    <t>Part 17</t>
  </si>
  <si>
    <t>Block 17</t>
  </si>
  <si>
    <t>Block 1.17</t>
  </si>
  <si>
    <t>State 17</t>
  </si>
  <si>
    <t>State 1.17</t>
  </si>
  <si>
    <t>Function 17</t>
  </si>
  <si>
    <t>Function 1.17</t>
  </si>
  <si>
    <t>Activity 17</t>
  </si>
  <si>
    <t>Depart 18</t>
  </si>
  <si>
    <t>Site 18</t>
  </si>
  <si>
    <t>Line 18</t>
  </si>
  <si>
    <t>Group 18</t>
  </si>
  <si>
    <t>Part 18</t>
  </si>
  <si>
    <t>Block 18</t>
  </si>
  <si>
    <t>Block 1.18</t>
  </si>
  <si>
    <t>State 18</t>
  </si>
  <si>
    <t>State 1.18</t>
  </si>
  <si>
    <t>Function 18</t>
  </si>
  <si>
    <t>Function 1.18</t>
  </si>
  <si>
    <t>Activity 18</t>
  </si>
  <si>
    <t>Depart 19</t>
  </si>
  <si>
    <t>Site 19</t>
  </si>
  <si>
    <t>Line 19</t>
  </si>
  <si>
    <t>Group 19</t>
  </si>
  <si>
    <t>Part 19</t>
  </si>
  <si>
    <t>Block 19</t>
  </si>
  <si>
    <t>Block 1.19</t>
  </si>
  <si>
    <t>State 19</t>
  </si>
  <si>
    <t>State 1.19</t>
  </si>
  <si>
    <t>Function 19</t>
  </si>
  <si>
    <t>Function 1.19</t>
  </si>
  <si>
    <t>Activity 19</t>
  </si>
  <si>
    <t>Depart 20</t>
  </si>
  <si>
    <t>Site 20</t>
  </si>
  <si>
    <t>Line 20</t>
  </si>
  <si>
    <t>Group 20</t>
  </si>
  <si>
    <t>Part 20</t>
  </si>
  <si>
    <t>Block 20</t>
  </si>
  <si>
    <t>Block 1.20</t>
  </si>
  <si>
    <t>State 20</t>
  </si>
  <si>
    <t>State 1.20</t>
  </si>
  <si>
    <t>Function 20</t>
  </si>
  <si>
    <t>Function 1.20</t>
  </si>
  <si>
    <t>Activity 20</t>
  </si>
  <si>
    <t>Depart 21</t>
  </si>
  <si>
    <t>Site 21</t>
  </si>
  <si>
    <t>Line 21</t>
  </si>
  <si>
    <t>Group 21</t>
  </si>
  <si>
    <t>Part 21</t>
  </si>
  <si>
    <t>Block 21</t>
  </si>
  <si>
    <t>Block 1.21</t>
  </si>
  <si>
    <t>State 21</t>
  </si>
  <si>
    <t>State 1.21</t>
  </si>
  <si>
    <t>Function 21</t>
  </si>
  <si>
    <t>Function 1.21</t>
  </si>
  <si>
    <t>Activity 21</t>
  </si>
  <si>
    <t>Depart 22</t>
  </si>
  <si>
    <t>Site 22</t>
  </si>
  <si>
    <t>Line 22</t>
  </si>
  <si>
    <t>Group 22</t>
  </si>
  <si>
    <t>Part 22</t>
  </si>
  <si>
    <t>Block 22</t>
  </si>
  <si>
    <t>Block 1.22</t>
  </si>
  <si>
    <t>State 22</t>
  </si>
  <si>
    <t>State 1.22</t>
  </si>
  <si>
    <t>Function 22</t>
  </si>
  <si>
    <t>Function 1.22</t>
  </si>
  <si>
    <t>Activity 22</t>
  </si>
  <si>
    <t>Depart 23</t>
  </si>
  <si>
    <t>Site 23</t>
  </si>
  <si>
    <t>Line 23</t>
  </si>
  <si>
    <t>Group 23</t>
  </si>
  <si>
    <t>Part 23</t>
  </si>
  <si>
    <t>Block 23</t>
  </si>
  <si>
    <t>Block 1.23</t>
  </si>
  <si>
    <t>State 23</t>
  </si>
  <si>
    <t>State 1.23</t>
  </si>
  <si>
    <t>Function 23</t>
  </si>
  <si>
    <t>Function 1.23</t>
  </si>
  <si>
    <t>Activity 23</t>
  </si>
  <si>
    <t>Depart 24</t>
  </si>
  <si>
    <t>Site 24</t>
  </si>
  <si>
    <t>Line 24</t>
  </si>
  <si>
    <t>Group 24</t>
  </si>
  <si>
    <t>Part 24</t>
  </si>
  <si>
    <t>Block 24</t>
  </si>
  <si>
    <t>Block 1.24</t>
  </si>
  <si>
    <t>State 24</t>
  </si>
  <si>
    <t>State 1.24</t>
  </si>
  <si>
    <t>Function 24</t>
  </si>
  <si>
    <t>Function 1.24</t>
  </si>
  <si>
    <t>Activity 24</t>
  </si>
  <si>
    <t>Depart 25</t>
  </si>
  <si>
    <t>Site 25</t>
  </si>
  <si>
    <t>Line 25</t>
  </si>
  <si>
    <t>Group 25</t>
  </si>
  <si>
    <t>Part 25</t>
  </si>
  <si>
    <t>Block 25</t>
  </si>
  <si>
    <t>Block 1.25</t>
  </si>
  <si>
    <t>State 25</t>
  </si>
  <si>
    <t>State 1.25</t>
  </si>
  <si>
    <t>Function 25</t>
  </si>
  <si>
    <t>Function 1.25</t>
  </si>
  <si>
    <t>Activity 25</t>
  </si>
  <si>
    <t>Depart 26</t>
  </si>
  <si>
    <t>Site 26</t>
  </si>
  <si>
    <t>Line 26</t>
  </si>
  <si>
    <t>Group 26</t>
  </si>
  <si>
    <t>Part 26</t>
  </si>
  <si>
    <t>Block 26</t>
  </si>
  <si>
    <t>Block 1.26</t>
  </si>
  <si>
    <t>State 26</t>
  </si>
  <si>
    <t>State 1.26</t>
  </si>
  <si>
    <t>Function 26</t>
  </si>
  <si>
    <t>Function 1.26</t>
  </si>
  <si>
    <t>Activity 26</t>
  </si>
  <si>
    <t>Depart 27</t>
  </si>
  <si>
    <t>Site 27</t>
  </si>
  <si>
    <t>Line 27</t>
  </si>
  <si>
    <t>Group 27</t>
  </si>
  <si>
    <t>Part 27</t>
  </si>
  <si>
    <t>Block 27</t>
  </si>
  <si>
    <t>Block 1.27</t>
  </si>
  <si>
    <t>State 27</t>
  </si>
  <si>
    <t>State 1.27</t>
  </si>
  <si>
    <t>Function 27</t>
  </si>
  <si>
    <t>Function 1.27</t>
  </si>
  <si>
    <t>Activity 27</t>
  </si>
  <si>
    <t>Depart 28</t>
  </si>
  <si>
    <t>Site 28</t>
  </si>
  <si>
    <t>Line 28</t>
  </si>
  <si>
    <t>Group 28</t>
  </si>
  <si>
    <t>Part 28</t>
  </si>
  <si>
    <t>Block 28</t>
  </si>
  <si>
    <t>Block 1.28</t>
  </si>
  <si>
    <t>State 28</t>
  </si>
  <si>
    <t>State 1.28</t>
  </si>
  <si>
    <t>Function 28</t>
  </si>
  <si>
    <t>Function 1.28</t>
  </si>
  <si>
    <t>Activity 28</t>
  </si>
  <si>
    <t>Depart 29</t>
  </si>
  <si>
    <t>Site 29</t>
  </si>
  <si>
    <t>Line 29</t>
  </si>
  <si>
    <t>Group 29</t>
  </si>
  <si>
    <t>Part 29</t>
  </si>
  <si>
    <t>Block 29</t>
  </si>
  <si>
    <t>Block 1.29</t>
  </si>
  <si>
    <t>State 29</t>
  </si>
  <si>
    <t>State 1.29</t>
  </si>
  <si>
    <t>Function 29</t>
  </si>
  <si>
    <t>Function 1.29</t>
  </si>
  <si>
    <t>Activity 29</t>
  </si>
  <si>
    <t>Depart 30</t>
  </si>
  <si>
    <t>Site 30</t>
  </si>
  <si>
    <t>Line 30</t>
  </si>
  <si>
    <t>Group 30</t>
  </si>
  <si>
    <t>Part 30</t>
  </si>
  <si>
    <t>Block 30</t>
  </si>
  <si>
    <t>Block 1.30</t>
  </si>
  <si>
    <t>State 30</t>
  </si>
  <si>
    <t>State 1.30</t>
  </si>
  <si>
    <t>Function 30</t>
  </si>
  <si>
    <t>Function 1.30</t>
  </si>
  <si>
    <t>Activity 30</t>
  </si>
  <si>
    <t>Depart 31</t>
  </si>
  <si>
    <t>Site 31</t>
  </si>
  <si>
    <t>Line 31</t>
  </si>
  <si>
    <t>Group 31</t>
  </si>
  <si>
    <t>Part 31</t>
  </si>
  <si>
    <t>Block 31</t>
  </si>
  <si>
    <t>Block 1.31</t>
  </si>
  <si>
    <t>State 31</t>
  </si>
  <si>
    <t>State 1.31</t>
  </si>
  <si>
    <t>Function 31</t>
  </si>
  <si>
    <t>Function 1.31</t>
  </si>
  <si>
    <t>Activity 31</t>
  </si>
  <si>
    <t>Depart 32</t>
  </si>
  <si>
    <t>Site 32</t>
  </si>
  <si>
    <t>Line 32</t>
  </si>
  <si>
    <t>Group 32</t>
  </si>
  <si>
    <t>Part 32</t>
  </si>
  <si>
    <t>Block 32</t>
  </si>
  <si>
    <t>Block 1.32</t>
  </si>
  <si>
    <t>State 32</t>
  </si>
  <si>
    <t>State 1.32</t>
  </si>
  <si>
    <t>Function 32</t>
  </si>
  <si>
    <t>Function 1.32</t>
  </si>
  <si>
    <t>Activity 32</t>
  </si>
  <si>
    <t>Depart 33</t>
  </si>
  <si>
    <t>Site 33</t>
  </si>
  <si>
    <t>Line 33</t>
  </si>
  <si>
    <t>Group 33</t>
  </si>
  <si>
    <t>Part 33</t>
  </si>
  <si>
    <t>Block 33</t>
  </si>
  <si>
    <t>Block 1.33</t>
  </si>
  <si>
    <t>State 33</t>
  </si>
  <si>
    <t>State 1.33</t>
  </si>
  <si>
    <t>Function 33</t>
  </si>
  <si>
    <t>Function 1.33</t>
  </si>
  <si>
    <t>Activity 33</t>
  </si>
  <si>
    <t>Depart 34</t>
  </si>
  <si>
    <t>Site 34</t>
  </si>
  <si>
    <t>Line 34</t>
  </si>
  <si>
    <t>Group 34</t>
  </si>
  <si>
    <t>Part 34</t>
  </si>
  <si>
    <t>Block 34</t>
  </si>
  <si>
    <t>Block 1.34</t>
  </si>
  <si>
    <t>State 34</t>
  </si>
  <si>
    <t>State 1.34</t>
  </si>
  <si>
    <t>Function 34</t>
  </si>
  <si>
    <t>Function 1.34</t>
  </si>
  <si>
    <t>Activity 34</t>
  </si>
  <si>
    <t>Depart 35</t>
  </si>
  <si>
    <t>Site 35</t>
  </si>
  <si>
    <t>Line 35</t>
  </si>
  <si>
    <t>Group 35</t>
  </si>
  <si>
    <t>Part 35</t>
  </si>
  <si>
    <t>Block 35</t>
  </si>
  <si>
    <t>Block 1.35</t>
  </si>
  <si>
    <t>State 35</t>
  </si>
  <si>
    <t>State 1.35</t>
  </si>
  <si>
    <t>Function 35</t>
  </si>
  <si>
    <t>Function 1.35</t>
  </si>
  <si>
    <t>Activity 35</t>
  </si>
  <si>
    <t>Depart 36</t>
  </si>
  <si>
    <t>Site 36</t>
  </si>
  <si>
    <t>Line 36</t>
  </si>
  <si>
    <t>Group 36</t>
  </si>
  <si>
    <t>Part 36</t>
  </si>
  <si>
    <t>Block 36</t>
  </si>
  <si>
    <t>Block 1.36</t>
  </si>
  <si>
    <t>State 36</t>
  </si>
  <si>
    <t>State 1.36</t>
  </si>
  <si>
    <t>Function 36</t>
  </si>
  <si>
    <t>Function 1.36</t>
  </si>
  <si>
    <t>Activity 36</t>
  </si>
  <si>
    <t>Depart 37</t>
  </si>
  <si>
    <t>Site 37</t>
  </si>
  <si>
    <t>Line 37</t>
  </si>
  <si>
    <t>Group 37</t>
  </si>
  <si>
    <t>Part 37</t>
  </si>
  <si>
    <t>Block 37</t>
  </si>
  <si>
    <t>Block 1.37</t>
  </si>
  <si>
    <t>State 37</t>
  </si>
  <si>
    <t>State 1.37</t>
  </si>
  <si>
    <t>Function 37</t>
  </si>
  <si>
    <t>Function 1.37</t>
  </si>
  <si>
    <t>Activity 37</t>
  </si>
  <si>
    <t>Depart 38</t>
  </si>
  <si>
    <t>Site 38</t>
  </si>
  <si>
    <t>Line 38</t>
  </si>
  <si>
    <t>Group 38</t>
  </si>
  <si>
    <t>Part 38</t>
  </si>
  <si>
    <t>Block 38</t>
  </si>
  <si>
    <t>Block 1.38</t>
  </si>
  <si>
    <t>State 38</t>
  </si>
  <si>
    <t>State 1.38</t>
  </si>
  <si>
    <t>Function 38</t>
  </si>
  <si>
    <t>Function 1.38</t>
  </si>
  <si>
    <t>Activity 38</t>
  </si>
  <si>
    <t>Code</t>
  </si>
  <si>
    <t>Name</t>
  </si>
  <si>
    <t>OLED</t>
  </si>
  <si>
    <t>OLED TIVI</t>
  </si>
  <si>
    <t>Task Name</t>
  </si>
  <si>
    <t>Milestone</t>
  </si>
  <si>
    <t>Smart Tivi</t>
  </si>
  <si>
    <t>OLED Screen</t>
  </si>
  <si>
    <t>China version</t>
  </si>
  <si>
    <t>Vietnam version</t>
  </si>
  <si>
    <t>Korea version</t>
  </si>
  <si>
    <t>US version</t>
  </si>
  <si>
    <t>UK Version</t>
  </si>
  <si>
    <t>FlagShip 2026</t>
  </si>
  <si>
    <t>FlagShip 2027</t>
  </si>
  <si>
    <t>Tunning</t>
  </si>
  <si>
    <t>CASE01</t>
  </si>
  <si>
    <t>Tunning Case 02</t>
  </si>
  <si>
    <t>Headcount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</si>
</sst>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d\,\ yyyy"/>
    <numFmt numFmtId="168" formatCode="yy\.mm"/>
  </numFmts>
  <fonts count="9" x14ac:knownFonts="1">
    <font>
      <sz val="12"/>
      <color theme="1"/>
      <name val="Aptos Narrow"/>
      <family val="2"/>
      <scheme val="minor"/>
    </font>
    <font>
      <sz val="12"/>
      <color theme="1"/>
      <name val="Arial"/>
      <family val="2"/>
    </font>
    <font>
      <b/>
      <sz val="12"/>
      <color theme="1"/>
      <name val="Arial"/>
      <family val="2"/>
    </font>
    <font>
      <sz val="16"/>
      <color rgb="FF3F51B5"/>
      <name val="Arial"/>
      <family val="2"/>
    </font>
    <font>
      <sz val="12"/>
      <color rgb="FF009688"/>
      <name val="Arial"/>
      <family val="2"/>
    </font>
    <font>
      <sz val="12"/>
      <color theme="1"/>
      <name val="Aptos Narrow"/>
      <family val="2"/>
      <scheme val="minor"/>
    </font>
    <font>
      <sz val="8"/>
      <name val="Aptos Narrow"/>
      <family val="2"/>
      <scheme val="minor"/>
    </font>
    <font>
      <sz val="12"/>
      <color theme="0"/>
      <name val="Arial"/>
      <family val="2"/>
    </font>
    <font>
      <b/>
      <sz val="12"/>
      <color theme="0"/>
      <name val="Arial"/>
      <family val="2"/>
    </font>
  </fonts>
  <fills count="11">
    <fill>
      <patternFill patternType="none"/>
    </fill>
    <fill>
      <patternFill patternType="gray125"/>
    </fill>
    <fill>
      <patternFill patternType="solid">
        <fgColor rgb="FF3F51B5"/>
        <bgColor indexed="64"/>
      </patternFill>
    </fill>
    <fill>
      <patternFill patternType="solid">
        <fgColor rgb="FF009688"/>
        <bgColor indexed="64"/>
      </patternFill>
    </fill>
    <fill>
      <patternFill patternType="solid">
        <fgColor rgb="FF673AB7"/>
        <bgColor indexed="64"/>
      </patternFill>
    </fill>
    <fill>
      <patternFill patternType="solid">
        <fgColor rgb="FFF44336"/>
        <bgColor indexed="64"/>
      </patternFill>
    </fill>
    <fill>
      <patternFill patternType="solid">
        <fgColor rgb="FF4CAF50"/>
        <bgColor indexed="64"/>
      </patternFill>
    </fill>
    <fill>
      <patternFill patternType="solid">
        <fgColor rgb="FFFF9800"/>
        <bgColor indexed="64"/>
      </patternFill>
    </fill>
    <fill>
      <patternFill patternType="solid">
        <fgColor rgb="FF2196F3"/>
        <bgColor indexed="64"/>
      </patternFill>
    </fill>
    <fill>
      <patternFill patternType="solid">
        <fgColor theme="0" tint="-0.14999847407452621"/>
        <bgColor indexed="64"/>
      </patternFill>
    </fill>
    <fill>
      <patternFill patternType="solid">
        <fgColor theme="7"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right/>
      <top style="double">
        <color indexed="64"/>
      </top>
      <bottom/>
      <diagonal/>
    </border>
    <border>
      <left/>
      <right/>
      <top style="thin">
        <color indexed="64"/>
      </top>
      <bottom style="thin">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2">
    <xf numFmtId="0" fontId="0" fillId="0" borderId="0"/>
    <xf numFmtId="9" fontId="5" fillId="0" borderId="0" applyFont="0" applyFill="0" applyBorder="0" applyAlignment="0" applyProtection="0"/>
  </cellStyleXfs>
  <cellXfs count="90">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lef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applyAlignment="1">
      <alignment vertical="center"/>
    </xf>
    <xf numFmtId="0" fontId="1" fillId="6" borderId="0" xfId="0" applyFont="1" applyFill="1" applyAlignment="1">
      <alignment vertical="center"/>
    </xf>
    <xf numFmtId="0" fontId="1" fillId="7" borderId="0" xfId="0" applyFont="1" applyFill="1" applyAlignment="1">
      <alignment vertical="center"/>
    </xf>
    <xf numFmtId="0" fontId="1" fillId="8" borderId="0" xfId="0" applyFont="1" applyFill="1" applyAlignment="1">
      <alignment vertical="center"/>
    </xf>
    <xf numFmtId="0" fontId="1" fillId="0" borderId="1" xfId="0" applyFont="1" applyBorder="1" applyAlignment="1">
      <alignment vertical="center"/>
    </xf>
    <xf numFmtId="0" fontId="1" fillId="9" borderId="1" xfId="0" applyFont="1" applyFill="1" applyBorder="1"/>
    <xf numFmtId="0" fontId="1" fillId="0" borderId="1" xfId="0" applyFont="1" applyBorder="1"/>
    <xf numFmtId="0" fontId="1" fillId="0" borderId="1" xfId="0" applyFont="1" applyBorder="1" applyAlignment="1">
      <alignment horizontal="left" vertical="center"/>
    </xf>
    <xf numFmtId="0" fontId="1" fillId="0" borderId="0" xfId="0" applyFont="1" applyAlignment="1">
      <alignment horizontal="center" vertical="center"/>
    </xf>
    <xf numFmtId="0" fontId="1" fillId="0" borderId="11" xfId="0" applyFont="1" applyBorder="1" applyAlignment="1">
      <alignment horizontal="left" vertical="center" wrapText="1"/>
    </xf>
    <xf numFmtId="0" fontId="1" fillId="0" borderId="11" xfId="0" applyFont="1" applyBorder="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center"/>
    </xf>
    <xf numFmtId="0" fontId="1" fillId="9" borderId="3" xfId="0" applyFont="1" applyFill="1" applyBorder="1" applyAlignment="1">
      <alignment horizontal="center" vertical="center"/>
    </xf>
    <xf numFmtId="0" fontId="1" fillId="9" borderId="4" xfId="0" applyFont="1" applyFill="1" applyBorder="1" applyAlignment="1">
      <alignment horizontal="center" vertical="center"/>
    </xf>
    <xf numFmtId="0" fontId="1" fillId="9" borderId="5" xfId="0" applyFont="1" applyFill="1" applyBorder="1" applyAlignment="1">
      <alignment horizontal="center" vertical="center"/>
    </xf>
    <xf numFmtId="0" fontId="1" fillId="9" borderId="6" xfId="0" applyFont="1" applyFill="1" applyBorder="1" applyAlignment="1">
      <alignment horizontal="center" vertical="center"/>
    </xf>
    <xf numFmtId="0" fontId="1" fillId="9" borderId="2" xfId="0" applyFont="1" applyFill="1" applyBorder="1" applyAlignment="1">
      <alignment horizontal="center" vertical="center"/>
    </xf>
    <xf numFmtId="0" fontId="1" fillId="9" borderId="7" xfId="0" applyFont="1" applyFill="1" applyBorder="1" applyAlignment="1">
      <alignment horizontal="center" vertical="center"/>
    </xf>
    <xf numFmtId="164" fontId="1" fillId="0" borderId="8" xfId="0" applyNumberFormat="1" applyFont="1" applyBorder="1" applyAlignment="1">
      <alignment horizontal="center" vertical="center"/>
    </xf>
    <xf numFmtId="164" fontId="1" fillId="0" borderId="9" xfId="0" applyNumberFormat="1" applyFont="1" applyBorder="1" applyAlignment="1">
      <alignment horizontal="center" vertical="center"/>
    </xf>
    <xf numFmtId="164" fontId="1" fillId="0" borderId="10" xfId="0" applyNumberFormat="1" applyFont="1" applyBorder="1" applyAlignment="1">
      <alignment horizontal="center" vertical="center"/>
    </xf>
    <xf numFmtId="0" fontId="1" fillId="0" borderId="1" xfId="0" applyFont="1" applyBorder="1" applyAlignment="1">
      <alignment horizontal="left" vertical="center"/>
    </xf>
    <xf numFmtId="164" fontId="1" fillId="0" borderId="1" xfId="0" applyNumberFormat="1" applyFont="1" applyBorder="1" applyAlignment="1">
      <alignment horizontal="left"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1" fillId="9" borderId="13" xfId="0" applyFont="1" applyFill="1" applyBorder="1" applyAlignment="1">
      <alignment horizontal="center" vertical="center"/>
    </xf>
    <xf numFmtId="0" fontId="1" fillId="9" borderId="14" xfId="0" applyFont="1" applyFill="1" applyBorder="1" applyAlignment="1">
      <alignment horizontal="center" vertical="center"/>
    </xf>
    <xf numFmtId="0" fontId="1" fillId="9" borderId="15" xfId="0" applyFont="1" applyFill="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1" fillId="9" borderId="16" xfId="0" applyFont="1" applyFill="1" applyBorder="1" applyAlignment="1">
      <alignment horizontal="center" vertical="center"/>
    </xf>
    <xf numFmtId="0" fontId="1" fillId="9" borderId="17" xfId="0" applyFont="1" applyFill="1" applyBorder="1" applyAlignment="1">
      <alignment horizontal="center" vertical="center"/>
    </xf>
    <xf numFmtId="0" fontId="1" fillId="9" borderId="18" xfId="0" applyFont="1" applyFill="1" applyBorder="1" applyAlignment="1">
      <alignment horizontal="center" vertical="center"/>
    </xf>
    <xf numFmtId="0" fontId="1" fillId="0" borderId="12" xfId="0" applyFont="1" applyBorder="1" applyAlignment="1">
      <alignment horizontal="center" vertical="center"/>
    </xf>
    <xf numFmtId="0" fontId="2" fillId="9" borderId="0" xfId="0" applyFont="1" applyFill="1" applyAlignment="1">
      <alignment horizontal="left" vertical="center"/>
    </xf>
    <xf numFmtId="0" fontId="1" fillId="9" borderId="1" xfId="0" applyFont="1" applyFill="1" applyBorder="1" applyAlignment="1">
      <alignment horizontal="center"/>
    </xf>
    <xf numFmtId="164" fontId="1" fillId="0" borderId="1" xfId="0" applyNumberFormat="1" applyFont="1" applyBorder="1" applyAlignment="1">
      <alignment horizontal="left"/>
    </xf>
    <xf numFmtId="0" fontId="1" fillId="0" borderId="1" xfId="0" applyFont="1" applyBorder="1" applyAlignment="1">
      <alignment horizontal="left"/>
    </xf>
    <xf numFmtId="0" fontId="1" fillId="0" borderId="0" xfId="0" applyFont="1" applyAlignment="1">
      <alignment horizontal="righ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12" xfId="0" applyFont="1" applyFill="1" applyBorder="1" applyAlignment="1">
      <alignment horizontal="center" vertical="center"/>
    </xf>
    <xf numFmtId="0" fontId="8" fillId="2" borderId="20" xfId="0" applyFont="1" applyFill="1" applyBorder="1" applyAlignment="1">
      <alignment horizontal="center" vertical="center"/>
    </xf>
    <xf numFmtId="2" fontId="1" fillId="0" borderId="1" xfId="0" applyNumberFormat="1" applyFont="1" applyBorder="1" applyAlignment="1">
      <alignment horizontal="right" vertical="center"/>
    </xf>
    <xf numFmtId="2" fontId="1" fillId="10" borderId="1" xfId="0" applyNumberFormat="1" applyFont="1" applyFill="1" applyBorder="1" applyAlignment="1">
      <alignment horizontal="right" vertical="center"/>
    </xf>
    <xf numFmtId="0" fontId="8" fillId="3" borderId="1"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23" xfId="0" applyFont="1"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19" xfId="0" applyFont="1" applyBorder="1" applyAlignment="1">
      <alignment vertical="center"/>
    </xf>
    <xf numFmtId="0" fontId="1" fillId="0" borderId="12" xfId="0" applyFont="1" applyBorder="1" applyAlignment="1">
      <alignment vertical="center"/>
    </xf>
    <xf numFmtId="168" fontId="1" fillId="0" borderId="1" xfId="0" applyNumberFormat="1" applyFont="1" applyBorder="1" applyAlignment="1">
      <alignment horizontal="center" vertical="center"/>
    </xf>
    <xf numFmtId="0" fontId="7" fillId="4" borderId="1" xfId="0" applyFont="1" applyFill="1" applyBorder="1" applyAlignment="1">
      <alignment vertical="center"/>
    </xf>
    <xf numFmtId="0" fontId="7" fillId="4" borderId="19" xfId="0" applyFont="1" applyFill="1" applyBorder="1" applyAlignment="1">
      <alignment horizontal="left" vertical="center"/>
    </xf>
    <xf numFmtId="0" fontId="7" fillId="4" borderId="12" xfId="0" applyFont="1" applyFill="1" applyBorder="1" applyAlignment="1">
      <alignment horizontal="left" vertical="center"/>
    </xf>
    <xf numFmtId="0" fontId="7" fillId="4" borderId="20" xfId="0" applyFont="1" applyFill="1" applyBorder="1" applyAlignment="1">
      <alignment horizontal="left" vertical="center"/>
    </xf>
    <xf numFmtId="0" fontId="7" fillId="8" borderId="1" xfId="0" applyFont="1" applyFill="1" applyBorder="1" applyAlignment="1">
      <alignment vertical="center"/>
    </xf>
    <xf numFmtId="0" fontId="7" fillId="8" borderId="19" xfId="0" applyFont="1" applyFill="1" applyBorder="1" applyAlignment="1">
      <alignment vertical="center"/>
    </xf>
    <xf numFmtId="0" fontId="7" fillId="8" borderId="12" xfId="0" applyFont="1" applyFill="1" applyBorder="1" applyAlignment="1">
      <alignment horizontal="left" vertical="center"/>
    </xf>
    <xf numFmtId="0" fontId="7" fillId="8" borderId="20" xfId="0" applyFont="1" applyFill="1" applyBorder="1" applyAlignment="1">
      <alignment horizontal="left" vertical="center"/>
    </xf>
    <xf numFmtId="0" fontId="7" fillId="3" borderId="12" xfId="0" applyFont="1" applyFill="1" applyBorder="1" applyAlignment="1">
      <alignment horizontal="left" vertical="center"/>
    </xf>
    <xf numFmtId="0" fontId="7" fillId="3" borderId="20" xfId="0" applyFont="1" applyFill="1" applyBorder="1" applyAlignment="1">
      <alignment horizontal="left" vertical="center"/>
    </xf>
    <xf numFmtId="0" fontId="7" fillId="6" borderId="12" xfId="0" applyFont="1" applyFill="1" applyBorder="1" applyAlignment="1">
      <alignment vertical="center"/>
    </xf>
    <xf numFmtId="0" fontId="7" fillId="6" borderId="20" xfId="0" applyFont="1" applyFill="1" applyBorder="1" applyAlignment="1">
      <alignment vertical="center"/>
    </xf>
    <xf numFmtId="0" fontId="1" fillId="8" borderId="22" xfId="0" applyFont="1" applyFill="1" applyBorder="1" applyAlignment="1">
      <alignment horizontal="center" vertical="center"/>
    </xf>
    <xf numFmtId="0" fontId="1" fillId="8" borderId="23" xfId="0" applyFont="1" applyFill="1" applyBorder="1" applyAlignment="1">
      <alignment horizontal="center" vertical="center"/>
    </xf>
    <xf numFmtId="0" fontId="1" fillId="8" borderId="21" xfId="0" applyFont="1" applyFill="1" applyBorder="1" applyAlignment="1">
      <alignment horizontal="center" vertical="center"/>
    </xf>
    <xf numFmtId="0" fontId="1" fillId="3" borderId="22" xfId="0" applyFont="1" applyFill="1" applyBorder="1" applyAlignment="1">
      <alignment horizontal="center" vertical="center"/>
    </xf>
    <xf numFmtId="0" fontId="1" fillId="3" borderId="23" xfId="0" applyFont="1" applyFill="1" applyBorder="1" applyAlignment="1">
      <alignment horizontal="center" vertical="center"/>
    </xf>
    <xf numFmtId="0" fontId="1" fillId="3" borderId="21" xfId="0" applyFont="1" applyFill="1" applyBorder="1" applyAlignment="1">
      <alignment horizontal="center" vertical="center"/>
    </xf>
    <xf numFmtId="0" fontId="1" fillId="6" borderId="21" xfId="0" applyFont="1" applyFill="1" applyBorder="1" applyAlignment="1">
      <alignment horizontal="center" vertical="center"/>
    </xf>
    <xf numFmtId="0" fontId="1" fillId="6" borderId="22" xfId="0" applyFont="1" applyFill="1" applyBorder="1" applyAlignment="1">
      <alignment horizontal="center" vertical="center"/>
    </xf>
    <xf numFmtId="9" fontId="1" fillId="10" borderId="1" xfId="1" applyFont="1" applyFill="1" applyBorder="1" applyAlignment="1">
      <alignment horizontal="right" vertical="center"/>
    </xf>
  </cellXfs>
  <cellStyles count="2">
    <cellStyle name="Normal" xfId="0" builtinId="0"/>
    <cellStyle name="Percent" xfId="1" builtinId="5"/>
  </cellStyles>
  <dxfs count="0"/>
  <tableStyles count="0" defaultTableStyle="TableStyleMedium2" defaultPivotStyle="PivotStyleLight16"/>
  <colors>
    <mruColors>
      <color rgb="FF4CAF50"/>
      <color rgb="FF009688"/>
      <color rgb="FF2196F3"/>
      <color rgb="FF3F51B5"/>
      <color rgb="FF673AB7"/>
      <color rgb="FFFF9800"/>
      <color rgb="FFF443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xdr:from>
      <xdr:col>39</xdr:col>
      <xdr:colOff>38100</xdr:colOff>
      <xdr:row>5</xdr:row>
      <xdr:rowOff>190500</xdr:rowOff>
    </xdr:from>
    <xdr:to>
      <xdr:col>39</xdr:col>
      <xdr:colOff>355600</xdr:colOff>
      <xdr:row>6</xdr:row>
      <xdr:rowOff>190500</xdr:rowOff>
    </xdr:to>
    <xdr:sp macro="" textlink="">
      <xdr:nvSpPr>
        <xdr:cNvPr id="2" name="Triangle 1">
          <a:extLst>
            <a:ext uri="{FF2B5EF4-FFF2-40B4-BE49-F238E27FC236}">
              <a16:creationId xmlns:a16="http://schemas.microsoft.com/office/drawing/2014/main" id="{08B5DE70-A6B3-2A9F-AF9A-FD3BECBD54A5}"/>
            </a:ext>
          </a:extLst>
        </xdr:cNvPr>
        <xdr:cNvSpPr/>
      </xdr:nvSpPr>
      <xdr:spPr>
        <a:xfrm rot="10800000">
          <a:off x="17081500" y="1333500"/>
          <a:ext cx="317500" cy="228600"/>
        </a:xfrm>
        <a:prstGeom prst="triangl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50800</xdr:colOff>
      <xdr:row>13</xdr:row>
      <xdr:rowOff>203200</xdr:rowOff>
    </xdr:from>
    <xdr:to>
      <xdr:col>39</xdr:col>
      <xdr:colOff>368300</xdr:colOff>
      <xdr:row>14</xdr:row>
      <xdr:rowOff>203200</xdr:rowOff>
    </xdr:to>
    <xdr:sp macro="" textlink="">
      <xdr:nvSpPr>
        <xdr:cNvPr id="3" name="Triangle 2">
          <a:extLst>
            <a:ext uri="{FF2B5EF4-FFF2-40B4-BE49-F238E27FC236}">
              <a16:creationId xmlns:a16="http://schemas.microsoft.com/office/drawing/2014/main" id="{7C0E4AEB-23F5-9943-85C0-B1326FB10696}"/>
            </a:ext>
          </a:extLst>
        </xdr:cNvPr>
        <xdr:cNvSpPr/>
      </xdr:nvSpPr>
      <xdr:spPr>
        <a:xfrm rot="10800000">
          <a:off x="17094200" y="3175000"/>
          <a:ext cx="317500" cy="228600"/>
        </a:xfrm>
        <a:prstGeom prst="triangl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38100</xdr:colOff>
      <xdr:row>21</xdr:row>
      <xdr:rowOff>215900</xdr:rowOff>
    </xdr:from>
    <xdr:to>
      <xdr:col>39</xdr:col>
      <xdr:colOff>355600</xdr:colOff>
      <xdr:row>22</xdr:row>
      <xdr:rowOff>215900</xdr:rowOff>
    </xdr:to>
    <xdr:sp macro="" textlink="">
      <xdr:nvSpPr>
        <xdr:cNvPr id="4" name="Triangle 3">
          <a:extLst>
            <a:ext uri="{FF2B5EF4-FFF2-40B4-BE49-F238E27FC236}">
              <a16:creationId xmlns:a16="http://schemas.microsoft.com/office/drawing/2014/main" id="{B76AABDA-162D-2246-8EC6-9B1174913FAA}"/>
            </a:ext>
          </a:extLst>
        </xdr:cNvPr>
        <xdr:cNvSpPr/>
      </xdr:nvSpPr>
      <xdr:spPr>
        <a:xfrm rot="10800000">
          <a:off x="17081500" y="5016500"/>
          <a:ext cx="317500" cy="228600"/>
        </a:xfrm>
        <a:prstGeom prst="triangl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38100</xdr:colOff>
      <xdr:row>30</xdr:row>
      <xdr:rowOff>203200</xdr:rowOff>
    </xdr:from>
    <xdr:to>
      <xdr:col>39</xdr:col>
      <xdr:colOff>355600</xdr:colOff>
      <xdr:row>31</xdr:row>
      <xdr:rowOff>203200</xdr:rowOff>
    </xdr:to>
    <xdr:sp macro="" textlink="">
      <xdr:nvSpPr>
        <xdr:cNvPr id="5" name="Triangle 4">
          <a:extLst>
            <a:ext uri="{FF2B5EF4-FFF2-40B4-BE49-F238E27FC236}">
              <a16:creationId xmlns:a16="http://schemas.microsoft.com/office/drawing/2014/main" id="{A93E72FC-3450-1A4B-AC0E-215A1F806230}"/>
            </a:ext>
          </a:extLst>
        </xdr:cNvPr>
        <xdr:cNvSpPr/>
      </xdr:nvSpPr>
      <xdr:spPr>
        <a:xfrm rot="10800000">
          <a:off x="17081500" y="7061200"/>
          <a:ext cx="317500" cy="228600"/>
        </a:xfrm>
        <a:prstGeom prst="triangl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50800</xdr:colOff>
      <xdr:row>38</xdr:row>
      <xdr:rowOff>203200</xdr:rowOff>
    </xdr:from>
    <xdr:to>
      <xdr:col>39</xdr:col>
      <xdr:colOff>368300</xdr:colOff>
      <xdr:row>39</xdr:row>
      <xdr:rowOff>203200</xdr:rowOff>
    </xdr:to>
    <xdr:sp macro="" textlink="">
      <xdr:nvSpPr>
        <xdr:cNvPr id="6" name="Triangle 5">
          <a:extLst>
            <a:ext uri="{FF2B5EF4-FFF2-40B4-BE49-F238E27FC236}">
              <a16:creationId xmlns:a16="http://schemas.microsoft.com/office/drawing/2014/main" id="{E154E1B2-AA9F-0244-BAAF-EF37659E1DE3}"/>
            </a:ext>
          </a:extLst>
        </xdr:cNvPr>
        <xdr:cNvSpPr/>
      </xdr:nvSpPr>
      <xdr:spPr>
        <a:xfrm rot="10800000">
          <a:off x="17094200" y="8890000"/>
          <a:ext cx="317500" cy="228600"/>
        </a:xfrm>
        <a:prstGeom prst="triangl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25400</xdr:colOff>
      <xdr:row>46</xdr:row>
      <xdr:rowOff>203200</xdr:rowOff>
    </xdr:from>
    <xdr:to>
      <xdr:col>39</xdr:col>
      <xdr:colOff>342900</xdr:colOff>
      <xdr:row>47</xdr:row>
      <xdr:rowOff>203200</xdr:rowOff>
    </xdr:to>
    <xdr:sp macro="" textlink="">
      <xdr:nvSpPr>
        <xdr:cNvPr id="7" name="Triangle 6">
          <a:extLst>
            <a:ext uri="{FF2B5EF4-FFF2-40B4-BE49-F238E27FC236}">
              <a16:creationId xmlns:a16="http://schemas.microsoft.com/office/drawing/2014/main" id="{A11A2877-F06B-B447-AD5B-5164B300843E}"/>
            </a:ext>
          </a:extLst>
        </xdr:cNvPr>
        <xdr:cNvSpPr/>
      </xdr:nvSpPr>
      <xdr:spPr>
        <a:xfrm rot="10800000">
          <a:off x="17068800" y="10718800"/>
          <a:ext cx="317500" cy="228600"/>
        </a:xfrm>
        <a:prstGeom prst="triangl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14</xdr:row>
      <xdr:rowOff>0</xdr:rowOff>
    </xdr:from>
    <xdr:to>
      <xdr:col>11</xdr:col>
      <xdr:colOff>0</xdr:colOff>
      <xdr:row>14</xdr:row>
      <xdr:rowOff>224692</xdr:rowOff>
    </xdr:to>
    <xdr:sp macro="" textlink="">
      <xdr:nvSpPr>
        <xdr:cNvPr id="10" name="Line Callout 1 9">
          <a:extLst>
            <a:ext uri="{FF2B5EF4-FFF2-40B4-BE49-F238E27FC236}">
              <a16:creationId xmlns:a16="http://schemas.microsoft.com/office/drawing/2014/main" id="{3C78A1CE-DDF1-F348-A10C-72F288461B84}"/>
            </a:ext>
          </a:extLst>
        </xdr:cNvPr>
        <xdr:cNvSpPr/>
      </xdr:nvSpPr>
      <xdr:spPr>
        <a:xfrm>
          <a:off x="5646615" y="3145692"/>
          <a:ext cx="762000" cy="224692"/>
        </a:xfrm>
        <a:prstGeom prst="borderCallout1">
          <a:avLst>
            <a:gd name="adj1" fmla="val 49185"/>
            <a:gd name="adj2" fmla="val 641"/>
            <a:gd name="adj3" fmla="val 47283"/>
            <a:gd name="adj4" fmla="val -40897"/>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Tunning</a:t>
          </a:r>
        </a:p>
      </xdr:txBody>
    </xdr:sp>
    <xdr:clientData/>
  </xdr:twoCellAnchor>
  <xdr:twoCellAnchor>
    <xdr:from>
      <xdr:col>9</xdr:col>
      <xdr:colOff>0</xdr:colOff>
      <xdr:row>16</xdr:row>
      <xdr:rowOff>0</xdr:rowOff>
    </xdr:from>
    <xdr:to>
      <xdr:col>11</xdr:col>
      <xdr:colOff>0</xdr:colOff>
      <xdr:row>17</xdr:row>
      <xdr:rowOff>0</xdr:rowOff>
    </xdr:to>
    <xdr:sp macro="" textlink="">
      <xdr:nvSpPr>
        <xdr:cNvPr id="11" name="Line Callout 1 10">
          <a:extLst>
            <a:ext uri="{FF2B5EF4-FFF2-40B4-BE49-F238E27FC236}">
              <a16:creationId xmlns:a16="http://schemas.microsoft.com/office/drawing/2014/main" id="{0A6C604B-834B-6A41-A8C0-ADDF2EAF6B60}"/>
            </a:ext>
          </a:extLst>
        </xdr:cNvPr>
        <xdr:cNvSpPr/>
      </xdr:nvSpPr>
      <xdr:spPr>
        <a:xfrm>
          <a:off x="5646615" y="3595077"/>
          <a:ext cx="762000" cy="224692"/>
        </a:xfrm>
        <a:prstGeom prst="borderCallout1">
          <a:avLst>
            <a:gd name="adj1" fmla="val 49185"/>
            <a:gd name="adj2" fmla="val 641"/>
            <a:gd name="adj3" fmla="val 47283"/>
            <a:gd name="adj4" fmla="val -40897"/>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Tunning</a:t>
          </a:r>
        </a:p>
      </xdr:txBody>
    </xdr:sp>
    <xdr:clientData/>
  </xdr:twoCellAnchor>
  <xdr:twoCellAnchor>
    <xdr:from>
      <xdr:col>9</xdr:col>
      <xdr:colOff>0</xdr:colOff>
      <xdr:row>17</xdr:row>
      <xdr:rowOff>0</xdr:rowOff>
    </xdr:from>
    <xdr:to>
      <xdr:col>11</xdr:col>
      <xdr:colOff>0</xdr:colOff>
      <xdr:row>17</xdr:row>
      <xdr:rowOff>224692</xdr:rowOff>
    </xdr:to>
    <xdr:sp macro="" textlink="">
      <xdr:nvSpPr>
        <xdr:cNvPr id="12" name="Line Callout 1 11">
          <a:extLst>
            <a:ext uri="{FF2B5EF4-FFF2-40B4-BE49-F238E27FC236}">
              <a16:creationId xmlns:a16="http://schemas.microsoft.com/office/drawing/2014/main" id="{520FB957-4841-3E43-8D9D-5E3FFE954290}"/>
            </a:ext>
          </a:extLst>
        </xdr:cNvPr>
        <xdr:cNvSpPr/>
      </xdr:nvSpPr>
      <xdr:spPr>
        <a:xfrm>
          <a:off x="5646615" y="3819769"/>
          <a:ext cx="762000" cy="224692"/>
        </a:xfrm>
        <a:prstGeom prst="borderCallout1">
          <a:avLst>
            <a:gd name="adj1" fmla="val 49185"/>
            <a:gd name="adj2" fmla="val 641"/>
            <a:gd name="adj3" fmla="val 47283"/>
            <a:gd name="adj4" fmla="val -40897"/>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Tunning</a:t>
          </a:r>
        </a:p>
      </xdr:txBody>
    </xdr:sp>
    <xdr:clientData/>
  </xdr:twoCellAnchor>
  <xdr:twoCellAnchor>
    <xdr:from>
      <xdr:col>9</xdr:col>
      <xdr:colOff>0</xdr:colOff>
      <xdr:row>20</xdr:row>
      <xdr:rowOff>0</xdr:rowOff>
    </xdr:from>
    <xdr:to>
      <xdr:col>11</xdr:col>
      <xdr:colOff>0</xdr:colOff>
      <xdr:row>20</xdr:row>
      <xdr:rowOff>224692</xdr:rowOff>
    </xdr:to>
    <xdr:sp macro="" textlink="">
      <xdr:nvSpPr>
        <xdr:cNvPr id="13" name="Line Callout 1 12">
          <a:extLst>
            <a:ext uri="{FF2B5EF4-FFF2-40B4-BE49-F238E27FC236}">
              <a16:creationId xmlns:a16="http://schemas.microsoft.com/office/drawing/2014/main" id="{5F9E7D76-2E4D-344B-A7C6-206C8FF13FCC}"/>
            </a:ext>
          </a:extLst>
        </xdr:cNvPr>
        <xdr:cNvSpPr/>
      </xdr:nvSpPr>
      <xdr:spPr>
        <a:xfrm>
          <a:off x="5646615" y="4493846"/>
          <a:ext cx="762000" cy="224692"/>
        </a:xfrm>
        <a:prstGeom prst="borderCallout1">
          <a:avLst>
            <a:gd name="adj1" fmla="val 49185"/>
            <a:gd name="adj2" fmla="val 641"/>
            <a:gd name="adj3" fmla="val 47283"/>
            <a:gd name="adj4" fmla="val -40897"/>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Tunning</a:t>
          </a:r>
        </a:p>
      </xdr:txBody>
    </xdr:sp>
    <xdr:clientData/>
  </xdr:twoCellAnchor>
  <xdr:twoCellAnchor>
    <xdr:from>
      <xdr:col>9</xdr:col>
      <xdr:colOff>0</xdr:colOff>
      <xdr:row>20</xdr:row>
      <xdr:rowOff>224692</xdr:rowOff>
    </xdr:from>
    <xdr:to>
      <xdr:col>11</xdr:col>
      <xdr:colOff>0</xdr:colOff>
      <xdr:row>21</xdr:row>
      <xdr:rowOff>224692</xdr:rowOff>
    </xdr:to>
    <xdr:sp macro="" textlink="">
      <xdr:nvSpPr>
        <xdr:cNvPr id="14" name="Line Callout 1 13">
          <a:extLst>
            <a:ext uri="{FF2B5EF4-FFF2-40B4-BE49-F238E27FC236}">
              <a16:creationId xmlns:a16="http://schemas.microsoft.com/office/drawing/2014/main" id="{A3214FAA-9763-784B-AC0A-8B62DE515811}"/>
            </a:ext>
          </a:extLst>
        </xdr:cNvPr>
        <xdr:cNvSpPr/>
      </xdr:nvSpPr>
      <xdr:spPr>
        <a:xfrm>
          <a:off x="5646615" y="4718538"/>
          <a:ext cx="762000" cy="224692"/>
        </a:xfrm>
        <a:prstGeom prst="borderCallout1">
          <a:avLst>
            <a:gd name="adj1" fmla="val 49185"/>
            <a:gd name="adj2" fmla="val 641"/>
            <a:gd name="adj3" fmla="val 47283"/>
            <a:gd name="adj4" fmla="val -40897"/>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Tunning</a:t>
          </a:r>
        </a:p>
      </xdr:txBody>
    </xdr:sp>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7F244-038D-1744-AC02-2D86B0AEC9CA}">
  <dimension ref="A1:L28"/>
  <sheetViews>
    <sheetView zoomScaleNormal="100" workbookViewId="0">
      <selection activeCell="M37" sqref="M37"/>
    </sheetView>
  </sheetViews>
  <sheetFormatPr baseColWidth="10" defaultColWidth="10.83203125" defaultRowHeight="18" customHeight="1" x14ac:dyDescent="0.2"/>
  <cols>
    <col min="1" max="16384" width="10.83203125" style="2"/>
  </cols>
  <sheetData>
    <row r="1" spans="1:12" ht="18" customHeight="1" x14ac:dyDescent="0.2">
      <c r="A1" s="37" t="e" vm="1">
        <v>#VALUE!</v>
      </c>
      <c r="B1" s="37"/>
      <c r="C1" s="37"/>
      <c r="D1" s="38" t="s">
        <v>39</v>
      </c>
      <c r="E1" s="38"/>
      <c r="F1" s="38"/>
      <c r="G1" s="38"/>
      <c r="H1" s="38"/>
      <c r="I1" s="11" t="s">
        <v>0</v>
      </c>
      <c r="J1" s="29"/>
      <c r="K1" s="29"/>
      <c r="L1" s="29"/>
    </row>
    <row r="2" spans="1:12" ht="18" customHeight="1" x14ac:dyDescent="0.2">
      <c r="A2" s="37"/>
      <c r="B2" s="37"/>
      <c r="C2" s="37"/>
      <c r="D2" s="38"/>
      <c r="E2" s="38"/>
      <c r="F2" s="38"/>
      <c r="G2" s="38"/>
      <c r="H2" s="38"/>
      <c r="I2" s="11" t="s">
        <v>1</v>
      </c>
      <c r="J2" s="29" t="s">
        <v>21</v>
      </c>
      <c r="K2" s="29"/>
      <c r="L2" s="29"/>
    </row>
    <row r="3" spans="1:12" ht="18" customHeight="1" x14ac:dyDescent="0.2">
      <c r="A3" s="37"/>
      <c r="B3" s="37"/>
      <c r="C3" s="37"/>
      <c r="D3" s="39" t="s">
        <v>40</v>
      </c>
      <c r="E3" s="39"/>
      <c r="F3" s="39"/>
      <c r="G3" s="39"/>
      <c r="H3" s="39"/>
      <c r="I3" s="11" t="s">
        <v>20</v>
      </c>
      <c r="J3" s="29" t="s">
        <v>22</v>
      </c>
      <c r="K3" s="29"/>
      <c r="L3" s="29"/>
    </row>
    <row r="4" spans="1:12" ht="18" customHeight="1" x14ac:dyDescent="0.2">
      <c r="A4" s="37"/>
      <c r="B4" s="37"/>
      <c r="C4" s="37"/>
      <c r="D4" s="39" t="s">
        <v>41</v>
      </c>
      <c r="E4" s="39"/>
      <c r="F4" s="39"/>
      <c r="G4" s="39"/>
      <c r="H4" s="39"/>
      <c r="I4" s="11" t="s">
        <v>19</v>
      </c>
      <c r="J4" s="30">
        <v>46119</v>
      </c>
      <c r="K4" s="30"/>
      <c r="L4" s="30"/>
    </row>
    <row r="5" spans="1:12" ht="18" customHeight="1" x14ac:dyDescent="0.2">
      <c r="A5" s="43"/>
      <c r="B5" s="43"/>
      <c r="C5" s="43"/>
      <c r="D5" s="43"/>
      <c r="E5" s="43"/>
      <c r="F5" s="43"/>
      <c r="G5" s="43"/>
      <c r="H5" s="43"/>
      <c r="I5" s="43"/>
      <c r="J5" s="43"/>
      <c r="K5" s="43"/>
      <c r="L5" s="43"/>
    </row>
    <row r="6" spans="1:12" ht="18" customHeight="1" x14ac:dyDescent="0.2">
      <c r="A6" s="40" t="s">
        <v>23</v>
      </c>
      <c r="B6" s="41"/>
      <c r="C6" s="41"/>
      <c r="D6" s="42"/>
      <c r="E6" s="20" t="s">
        <v>24</v>
      </c>
      <c r="F6" s="21"/>
      <c r="G6" s="21"/>
      <c r="H6" s="22"/>
      <c r="I6" s="20" t="s">
        <v>25</v>
      </c>
      <c r="J6" s="21"/>
      <c r="K6" s="21"/>
      <c r="L6" s="22"/>
    </row>
    <row r="7" spans="1:12" ht="18" customHeight="1" x14ac:dyDescent="0.2">
      <c r="A7" s="34" t="s">
        <v>28</v>
      </c>
      <c r="B7" s="35"/>
      <c r="C7" s="35"/>
      <c r="D7" s="36"/>
      <c r="E7" s="23" t="s">
        <v>29</v>
      </c>
      <c r="F7" s="24"/>
      <c r="G7" s="24"/>
      <c r="H7" s="25"/>
      <c r="I7" s="23" t="s">
        <v>27</v>
      </c>
      <c r="J7" s="24"/>
      <c r="K7" s="24"/>
      <c r="L7" s="25"/>
    </row>
    <row r="8" spans="1:12" ht="18" customHeight="1" x14ac:dyDescent="0.2">
      <c r="A8" s="31"/>
      <c r="B8" s="32"/>
      <c r="C8" s="32"/>
      <c r="D8" s="33"/>
      <c r="E8" s="31"/>
      <c r="F8" s="32"/>
      <c r="G8" s="32"/>
      <c r="H8" s="33"/>
      <c r="I8" s="31"/>
      <c r="J8" s="32"/>
      <c r="K8" s="32"/>
      <c r="L8" s="33"/>
    </row>
    <row r="9" spans="1:12" ht="18" customHeight="1" x14ac:dyDescent="0.2">
      <c r="A9" s="31"/>
      <c r="B9" s="32"/>
      <c r="C9" s="32"/>
      <c r="D9" s="33"/>
      <c r="E9" s="31"/>
      <c r="F9" s="32"/>
      <c r="G9" s="32"/>
      <c r="H9" s="33"/>
      <c r="I9" s="31"/>
      <c r="J9" s="32"/>
      <c r="K9" s="32"/>
      <c r="L9" s="33"/>
    </row>
    <row r="10" spans="1:12" ht="18" customHeight="1" x14ac:dyDescent="0.2">
      <c r="A10" s="31"/>
      <c r="B10" s="32"/>
      <c r="C10" s="32"/>
      <c r="D10" s="33"/>
      <c r="E10" s="31"/>
      <c r="F10" s="32"/>
      <c r="G10" s="32"/>
      <c r="H10" s="33"/>
      <c r="I10" s="31"/>
      <c r="J10" s="32"/>
      <c r="K10" s="32"/>
      <c r="L10" s="33"/>
    </row>
    <row r="11" spans="1:12" ht="18" customHeight="1" x14ac:dyDescent="0.2">
      <c r="A11" s="31"/>
      <c r="B11" s="32"/>
      <c r="C11" s="32"/>
      <c r="D11" s="33"/>
      <c r="E11" s="31"/>
      <c r="F11" s="32"/>
      <c r="G11" s="32"/>
      <c r="H11" s="33"/>
      <c r="I11" s="31"/>
      <c r="J11" s="32"/>
      <c r="K11" s="32"/>
      <c r="L11" s="33"/>
    </row>
    <row r="12" spans="1:12" ht="18" customHeight="1" x14ac:dyDescent="0.2">
      <c r="A12" s="31"/>
      <c r="B12" s="32"/>
      <c r="C12" s="32"/>
      <c r="D12" s="33"/>
      <c r="E12" s="31"/>
      <c r="F12" s="32"/>
      <c r="G12" s="32"/>
      <c r="H12" s="33"/>
      <c r="I12" s="31"/>
      <c r="J12" s="32"/>
      <c r="K12" s="32"/>
      <c r="L12" s="33"/>
    </row>
    <row r="13" spans="1:12" ht="18" customHeight="1" x14ac:dyDescent="0.2">
      <c r="A13" s="31"/>
      <c r="B13" s="32"/>
      <c r="C13" s="32"/>
      <c r="D13" s="33"/>
      <c r="E13" s="31"/>
      <c r="F13" s="32"/>
      <c r="G13" s="32"/>
      <c r="H13" s="33"/>
      <c r="I13" s="31"/>
      <c r="J13" s="32"/>
      <c r="K13" s="32"/>
      <c r="L13" s="33"/>
    </row>
    <row r="14" spans="1:12" ht="18" customHeight="1" x14ac:dyDescent="0.2">
      <c r="A14" s="26">
        <v>46120</v>
      </c>
      <c r="B14" s="27"/>
      <c r="C14" s="27"/>
      <c r="D14" s="28"/>
      <c r="E14" s="26">
        <v>46120</v>
      </c>
      <c r="F14" s="27"/>
      <c r="G14" s="27"/>
      <c r="H14" s="28"/>
      <c r="I14" s="26">
        <v>46120</v>
      </c>
      <c r="J14" s="27"/>
      <c r="K14" s="27"/>
      <c r="L14" s="28"/>
    </row>
    <row r="15" spans="1:12" ht="18" customHeight="1" x14ac:dyDescent="0.2">
      <c r="A15" s="43"/>
      <c r="B15" s="43"/>
      <c r="C15" s="43"/>
      <c r="D15" s="43"/>
      <c r="E15" s="43"/>
      <c r="F15" s="43"/>
      <c r="G15" s="43"/>
      <c r="H15" s="43"/>
      <c r="I15" s="43"/>
      <c r="J15" s="43"/>
      <c r="K15" s="43"/>
      <c r="L15" s="43"/>
    </row>
    <row r="16" spans="1:12" ht="18" customHeight="1" x14ac:dyDescent="0.2">
      <c r="A16" s="20" t="s">
        <v>26</v>
      </c>
      <c r="B16" s="21"/>
      <c r="C16" s="21"/>
      <c r="D16" s="22"/>
      <c r="E16" s="20" t="s">
        <v>26</v>
      </c>
      <c r="F16" s="21"/>
      <c r="G16" s="21"/>
      <c r="H16" s="22"/>
      <c r="I16" s="20" t="s">
        <v>26</v>
      </c>
      <c r="J16" s="21"/>
      <c r="K16" s="21"/>
      <c r="L16" s="22"/>
    </row>
    <row r="17" spans="1:12" ht="18" customHeight="1" x14ac:dyDescent="0.2">
      <c r="A17" s="23" t="s">
        <v>30</v>
      </c>
      <c r="B17" s="24"/>
      <c r="C17" s="24"/>
      <c r="D17" s="25"/>
      <c r="E17" s="23" t="s">
        <v>31</v>
      </c>
      <c r="F17" s="24"/>
      <c r="G17" s="24"/>
      <c r="H17" s="25"/>
      <c r="I17" s="23" t="s">
        <v>32</v>
      </c>
      <c r="J17" s="24"/>
      <c r="K17" s="24"/>
      <c r="L17" s="25"/>
    </row>
    <row r="18" spans="1:12" ht="18" customHeight="1" x14ac:dyDescent="0.2">
      <c r="A18" s="31"/>
      <c r="B18" s="32"/>
      <c r="C18" s="32"/>
      <c r="D18" s="33"/>
      <c r="E18" s="31"/>
      <c r="F18" s="32"/>
      <c r="G18" s="32"/>
      <c r="H18" s="33"/>
      <c r="I18" s="31"/>
      <c r="J18" s="32"/>
      <c r="K18" s="32"/>
      <c r="L18" s="33"/>
    </row>
    <row r="19" spans="1:12" ht="18" customHeight="1" x14ac:dyDescent="0.2">
      <c r="A19" s="31"/>
      <c r="B19" s="32"/>
      <c r="C19" s="32"/>
      <c r="D19" s="33"/>
      <c r="E19" s="31"/>
      <c r="F19" s="32"/>
      <c r="G19" s="32"/>
      <c r="H19" s="33"/>
      <c r="I19" s="31"/>
      <c r="J19" s="32"/>
      <c r="K19" s="32"/>
      <c r="L19" s="33"/>
    </row>
    <row r="20" spans="1:12" ht="18" customHeight="1" x14ac:dyDescent="0.2">
      <c r="A20" s="31"/>
      <c r="B20" s="32"/>
      <c r="C20" s="32"/>
      <c r="D20" s="33"/>
      <c r="E20" s="31"/>
      <c r="F20" s="32"/>
      <c r="G20" s="32"/>
      <c r="H20" s="33"/>
      <c r="I20" s="31"/>
      <c r="J20" s="32"/>
      <c r="K20" s="32"/>
      <c r="L20" s="33"/>
    </row>
    <row r="21" spans="1:12" ht="18" customHeight="1" x14ac:dyDescent="0.2">
      <c r="A21" s="31"/>
      <c r="B21" s="32"/>
      <c r="C21" s="32"/>
      <c r="D21" s="33"/>
      <c r="E21" s="31"/>
      <c r="F21" s="32"/>
      <c r="G21" s="32"/>
      <c r="H21" s="33"/>
      <c r="I21" s="31"/>
      <c r="J21" s="32"/>
      <c r="K21" s="32"/>
      <c r="L21" s="33"/>
    </row>
    <row r="22" spans="1:12" ht="18" customHeight="1" x14ac:dyDescent="0.2">
      <c r="A22" s="31"/>
      <c r="B22" s="32"/>
      <c r="C22" s="32"/>
      <c r="D22" s="33"/>
      <c r="E22" s="31"/>
      <c r="F22" s="32"/>
      <c r="G22" s="32"/>
      <c r="H22" s="33"/>
      <c r="I22" s="31"/>
      <c r="J22" s="32"/>
      <c r="K22" s="32"/>
      <c r="L22" s="33"/>
    </row>
    <row r="23" spans="1:12" ht="18" customHeight="1" x14ac:dyDescent="0.2">
      <c r="A23" s="31"/>
      <c r="B23" s="32"/>
      <c r="C23" s="32"/>
      <c r="D23" s="33"/>
      <c r="E23" s="31"/>
      <c r="F23" s="32"/>
      <c r="G23" s="32"/>
      <c r="H23" s="33"/>
      <c r="I23" s="31"/>
      <c r="J23" s="32"/>
      <c r="K23" s="32"/>
      <c r="L23" s="33"/>
    </row>
    <row r="24" spans="1:12" ht="18" customHeight="1" x14ac:dyDescent="0.2">
      <c r="A24" s="26">
        <v>46120</v>
      </c>
      <c r="B24" s="27"/>
      <c r="C24" s="27"/>
      <c r="D24" s="28"/>
      <c r="E24" s="26">
        <v>46120</v>
      </c>
      <c r="F24" s="27"/>
      <c r="G24" s="27"/>
      <c r="H24" s="28"/>
      <c r="I24" s="26">
        <v>46120</v>
      </c>
      <c r="J24" s="27"/>
      <c r="K24" s="27"/>
      <c r="L24" s="28"/>
    </row>
    <row r="25" spans="1:12" ht="18" customHeight="1" thickBot="1" x14ac:dyDescent="0.25">
      <c r="A25" s="15"/>
      <c r="B25" s="15"/>
      <c r="C25" s="15"/>
      <c r="D25" s="15"/>
      <c r="E25" s="15"/>
      <c r="F25" s="15"/>
      <c r="G25" s="15"/>
      <c r="H25" s="15"/>
      <c r="I25" s="15"/>
      <c r="J25" s="15"/>
      <c r="K25" s="15"/>
      <c r="L25" s="15"/>
    </row>
    <row r="26" spans="1:12" ht="18" customHeight="1" thickTop="1" x14ac:dyDescent="0.2">
      <c r="A26" s="16" t="s">
        <v>18</v>
      </c>
      <c r="B26" s="17"/>
      <c r="C26" s="17"/>
      <c r="D26" s="17"/>
      <c r="E26" s="17"/>
      <c r="F26" s="17"/>
      <c r="G26" s="17"/>
      <c r="H26" s="17"/>
      <c r="I26" s="17"/>
      <c r="J26" s="17"/>
      <c r="K26" s="17"/>
      <c r="L26" s="17"/>
    </row>
    <row r="27" spans="1:12" ht="18" customHeight="1" x14ac:dyDescent="0.2">
      <c r="A27" s="18"/>
      <c r="B27" s="19"/>
      <c r="C27" s="19"/>
      <c r="D27" s="19"/>
      <c r="E27" s="19"/>
      <c r="F27" s="19"/>
      <c r="G27" s="19"/>
      <c r="H27" s="19"/>
      <c r="I27" s="19"/>
      <c r="J27" s="19"/>
      <c r="K27" s="19"/>
      <c r="L27" s="19"/>
    </row>
    <row r="28" spans="1:12" ht="18" customHeight="1" x14ac:dyDescent="0.2">
      <c r="A28" s="19"/>
      <c r="B28" s="19"/>
      <c r="C28" s="19"/>
      <c r="D28" s="19"/>
      <c r="E28" s="19"/>
      <c r="F28" s="19"/>
      <c r="G28" s="19"/>
      <c r="H28" s="19"/>
      <c r="I28" s="19"/>
      <c r="J28" s="19"/>
      <c r="K28" s="19"/>
      <c r="L28" s="19"/>
    </row>
  </sheetData>
  <mergeCells count="36">
    <mergeCell ref="A7:D7"/>
    <mergeCell ref="E7:H7"/>
    <mergeCell ref="A1:C4"/>
    <mergeCell ref="D1:H2"/>
    <mergeCell ref="D3:H3"/>
    <mergeCell ref="D4:H4"/>
    <mergeCell ref="A6:D6"/>
    <mergeCell ref="E6:H6"/>
    <mergeCell ref="A5:L5"/>
    <mergeCell ref="I7:L7"/>
    <mergeCell ref="J1:L1"/>
    <mergeCell ref="J2:L2"/>
    <mergeCell ref="J3:L3"/>
    <mergeCell ref="J4:L4"/>
    <mergeCell ref="E24:H24"/>
    <mergeCell ref="I24:L24"/>
    <mergeCell ref="E18:H23"/>
    <mergeCell ref="I18:L23"/>
    <mergeCell ref="I6:L6"/>
    <mergeCell ref="A15:L15"/>
    <mergeCell ref="A8:D13"/>
    <mergeCell ref="E8:H13"/>
    <mergeCell ref="I8:L13"/>
    <mergeCell ref="A14:D14"/>
    <mergeCell ref="E14:H14"/>
    <mergeCell ref="I14:L14"/>
    <mergeCell ref="A26:L28"/>
    <mergeCell ref="A16:D16"/>
    <mergeCell ref="E16:H16"/>
    <mergeCell ref="I16:L16"/>
    <mergeCell ref="A17:D17"/>
    <mergeCell ref="E17:H17"/>
    <mergeCell ref="I17:L17"/>
    <mergeCell ref="A24:D24"/>
    <mergeCell ref="A25:L25"/>
    <mergeCell ref="A18:D23"/>
  </mergeCells>
  <pageMargins left="0.25" right="0.25"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00B3-E80C-0843-B3EB-C3695CF6B358}">
  <dimension ref="A1:L1"/>
  <sheetViews>
    <sheetView workbookViewId="0">
      <selection activeCell="F6" sqref="F6"/>
    </sheetView>
  </sheetViews>
  <sheetFormatPr baseColWidth="10" defaultRowHeight="18" customHeight="1" x14ac:dyDescent="0.2"/>
  <cols>
    <col min="1" max="12" width="10.83203125" style="2"/>
    <col min="13" max="16384" width="10.83203125" style="3"/>
  </cols>
  <sheetData>
    <row r="1" spans="1:12" ht="18" customHeight="1" x14ac:dyDescent="0.2">
      <c r="A1" s="44" t="s">
        <v>38</v>
      </c>
      <c r="B1" s="44"/>
      <c r="C1" s="44"/>
      <c r="D1" s="44"/>
      <c r="E1" s="44"/>
      <c r="F1" s="44"/>
      <c r="G1" s="44"/>
      <c r="H1" s="44"/>
      <c r="I1" s="44"/>
      <c r="J1" s="44"/>
      <c r="K1" s="44"/>
      <c r="L1" s="44"/>
    </row>
  </sheetData>
  <mergeCells count="1">
    <mergeCell ref="A1:L1"/>
  </mergeCells>
  <pageMargins left="0.25" right="0.25" top="0.75" bottom="0.75" header="0.3" footer="0.3"/>
  <pageSetup paperSize="9"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6B44-86F5-DB49-A150-262C4FE2F0C0}">
  <dimension ref="A1:CB55"/>
  <sheetViews>
    <sheetView zoomScaleNormal="100" workbookViewId="0">
      <selection activeCell="Q30" sqref="Q30"/>
    </sheetView>
  </sheetViews>
  <sheetFormatPr baseColWidth="10" defaultRowHeight="18" customHeight="1" x14ac:dyDescent="0.2"/>
  <cols>
    <col min="1" max="1" width="10.83203125" style="2"/>
    <col min="2" max="4" width="4.83203125" style="2" customWidth="1"/>
    <col min="5" max="8" width="10.83203125" style="2"/>
    <col min="9" max="9" width="5" style="63" customWidth="1"/>
    <col min="10" max="19" width="5" style="64" customWidth="1"/>
    <col min="20" max="20" width="5" style="65" customWidth="1"/>
    <col min="21" max="21" width="5" style="63" customWidth="1"/>
    <col min="22" max="31" width="5" style="64" customWidth="1"/>
    <col min="32" max="32" width="5" style="65" customWidth="1"/>
    <col min="33" max="33" width="5" style="63" customWidth="1"/>
    <col min="34" max="43" width="5" style="64" customWidth="1"/>
    <col min="44" max="44" width="5" style="65" customWidth="1"/>
    <col min="45" max="45" width="5" style="63" customWidth="1"/>
    <col min="46" max="55" width="5" style="64" customWidth="1"/>
    <col min="56" max="56" width="5" style="65" customWidth="1"/>
    <col min="57" max="57" width="5" style="63" customWidth="1"/>
    <col min="58" max="67" width="5" style="64" customWidth="1"/>
    <col min="68" max="68" width="5" style="65" customWidth="1"/>
    <col min="69" max="69" width="5" style="63" customWidth="1"/>
    <col min="70" max="79" width="5" style="64" customWidth="1"/>
    <col min="80" max="80" width="5" style="65" customWidth="1"/>
    <col min="81" max="16384" width="10.83203125" style="3"/>
  </cols>
  <sheetData>
    <row r="1" spans="1:80" ht="18" customHeight="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row>
    <row r="2" spans="1:80" ht="18" customHeight="1"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row>
    <row r="3" spans="1:80" ht="18" customHeight="1" x14ac:dyDescent="0.2">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row>
    <row r="4" spans="1:80" ht="18" customHeight="1" x14ac:dyDescent="0.2">
      <c r="A4" s="50" t="s">
        <v>42</v>
      </c>
      <c r="B4" s="50" t="s">
        <v>527</v>
      </c>
      <c r="C4" s="50"/>
      <c r="D4" s="50"/>
      <c r="E4" s="50"/>
      <c r="F4" s="50"/>
      <c r="G4" s="50"/>
      <c r="H4" s="50" t="s">
        <v>528</v>
      </c>
      <c r="I4" s="57">
        <v>2024</v>
      </c>
      <c r="J4" s="58"/>
      <c r="K4" s="58"/>
      <c r="L4" s="58"/>
      <c r="M4" s="58"/>
      <c r="N4" s="58"/>
      <c r="O4" s="58"/>
      <c r="P4" s="58"/>
      <c r="Q4" s="58"/>
      <c r="R4" s="58"/>
      <c r="S4" s="58"/>
      <c r="T4" s="59"/>
      <c r="U4" s="57">
        <v>2025</v>
      </c>
      <c r="V4" s="58"/>
      <c r="W4" s="58"/>
      <c r="X4" s="58"/>
      <c r="Y4" s="58"/>
      <c r="Z4" s="58"/>
      <c r="AA4" s="58"/>
      <c r="AB4" s="58"/>
      <c r="AC4" s="58"/>
      <c r="AD4" s="58"/>
      <c r="AE4" s="58"/>
      <c r="AF4" s="59"/>
      <c r="AG4" s="57">
        <v>2026</v>
      </c>
      <c r="AH4" s="58"/>
      <c r="AI4" s="58"/>
      <c r="AJ4" s="58"/>
      <c r="AK4" s="58"/>
      <c r="AL4" s="58"/>
      <c r="AM4" s="58"/>
      <c r="AN4" s="58"/>
      <c r="AO4" s="58"/>
      <c r="AP4" s="58"/>
      <c r="AQ4" s="58"/>
      <c r="AR4" s="59"/>
      <c r="AS4" s="57">
        <v>2027</v>
      </c>
      <c r="AT4" s="58"/>
      <c r="AU4" s="58"/>
      <c r="AV4" s="58"/>
      <c r="AW4" s="58"/>
      <c r="AX4" s="58"/>
      <c r="AY4" s="58"/>
      <c r="AZ4" s="58"/>
      <c r="BA4" s="58"/>
      <c r="BB4" s="58"/>
      <c r="BC4" s="58"/>
      <c r="BD4" s="59"/>
      <c r="BE4" s="57">
        <v>2027</v>
      </c>
      <c r="BF4" s="58"/>
      <c r="BG4" s="58"/>
      <c r="BH4" s="58"/>
      <c r="BI4" s="58"/>
      <c r="BJ4" s="58"/>
      <c r="BK4" s="58"/>
      <c r="BL4" s="58"/>
      <c r="BM4" s="58"/>
      <c r="BN4" s="58"/>
      <c r="BO4" s="58"/>
      <c r="BP4" s="59"/>
      <c r="BQ4" s="57">
        <v>2027</v>
      </c>
      <c r="BR4" s="58"/>
      <c r="BS4" s="58"/>
      <c r="BT4" s="58"/>
      <c r="BU4" s="58"/>
      <c r="BV4" s="58"/>
      <c r="BW4" s="58"/>
      <c r="BX4" s="58"/>
      <c r="BY4" s="58"/>
      <c r="BZ4" s="58"/>
      <c r="CA4" s="58"/>
      <c r="CB4" s="59"/>
    </row>
    <row r="5" spans="1:80" ht="18" customHeight="1" x14ac:dyDescent="0.2">
      <c r="A5" s="50"/>
      <c r="B5" s="50"/>
      <c r="C5" s="50"/>
      <c r="D5" s="50"/>
      <c r="E5" s="50"/>
      <c r="F5" s="50"/>
      <c r="G5" s="50"/>
      <c r="H5" s="50"/>
      <c r="I5" s="60">
        <v>1</v>
      </c>
      <c r="J5" s="61">
        <v>2</v>
      </c>
      <c r="K5" s="61">
        <v>3</v>
      </c>
      <c r="L5" s="61">
        <v>4</v>
      </c>
      <c r="M5" s="61">
        <v>5</v>
      </c>
      <c r="N5" s="61">
        <v>6</v>
      </c>
      <c r="O5" s="61">
        <v>7</v>
      </c>
      <c r="P5" s="61">
        <v>8</v>
      </c>
      <c r="Q5" s="61">
        <v>9</v>
      </c>
      <c r="R5" s="61">
        <v>10</v>
      </c>
      <c r="S5" s="61">
        <v>11</v>
      </c>
      <c r="T5" s="62">
        <v>12</v>
      </c>
      <c r="U5" s="60">
        <v>1</v>
      </c>
      <c r="V5" s="61">
        <v>2</v>
      </c>
      <c r="W5" s="61">
        <v>3</v>
      </c>
      <c r="X5" s="61">
        <v>4</v>
      </c>
      <c r="Y5" s="61">
        <v>5</v>
      </c>
      <c r="Z5" s="61">
        <v>6</v>
      </c>
      <c r="AA5" s="61">
        <v>7</v>
      </c>
      <c r="AB5" s="61">
        <v>8</v>
      </c>
      <c r="AC5" s="61">
        <v>9</v>
      </c>
      <c r="AD5" s="61">
        <v>10</v>
      </c>
      <c r="AE5" s="61">
        <v>11</v>
      </c>
      <c r="AF5" s="62">
        <v>12</v>
      </c>
      <c r="AG5" s="60">
        <v>1</v>
      </c>
      <c r="AH5" s="61">
        <v>2</v>
      </c>
      <c r="AI5" s="61">
        <v>3</v>
      </c>
      <c r="AJ5" s="61">
        <v>4</v>
      </c>
      <c r="AK5" s="61">
        <v>5</v>
      </c>
      <c r="AL5" s="61">
        <v>6</v>
      </c>
      <c r="AM5" s="61">
        <v>7</v>
      </c>
      <c r="AN5" s="61">
        <v>8</v>
      </c>
      <c r="AO5" s="61">
        <v>9</v>
      </c>
      <c r="AP5" s="61">
        <v>10</v>
      </c>
      <c r="AQ5" s="61">
        <v>11</v>
      </c>
      <c r="AR5" s="62">
        <v>12</v>
      </c>
      <c r="AS5" s="60">
        <v>1</v>
      </c>
      <c r="AT5" s="61">
        <v>2</v>
      </c>
      <c r="AU5" s="61">
        <v>3</v>
      </c>
      <c r="AV5" s="61">
        <v>4</v>
      </c>
      <c r="AW5" s="61">
        <v>5</v>
      </c>
      <c r="AX5" s="61">
        <v>6</v>
      </c>
      <c r="AY5" s="61">
        <v>7</v>
      </c>
      <c r="AZ5" s="61">
        <v>8</v>
      </c>
      <c r="BA5" s="61">
        <v>9</v>
      </c>
      <c r="BB5" s="61">
        <v>10</v>
      </c>
      <c r="BC5" s="61">
        <v>11</v>
      </c>
      <c r="BD5" s="62">
        <v>12</v>
      </c>
      <c r="BE5" s="60">
        <v>1</v>
      </c>
      <c r="BF5" s="61">
        <v>2</v>
      </c>
      <c r="BG5" s="61">
        <v>3</v>
      </c>
      <c r="BH5" s="61">
        <v>4</v>
      </c>
      <c r="BI5" s="61">
        <v>5</v>
      </c>
      <c r="BJ5" s="61">
        <v>6</v>
      </c>
      <c r="BK5" s="61">
        <v>7</v>
      </c>
      <c r="BL5" s="61">
        <v>8</v>
      </c>
      <c r="BM5" s="61">
        <v>9</v>
      </c>
      <c r="BN5" s="61">
        <v>10</v>
      </c>
      <c r="BO5" s="61">
        <v>11</v>
      </c>
      <c r="BP5" s="62">
        <v>12</v>
      </c>
      <c r="BQ5" s="60">
        <v>1</v>
      </c>
      <c r="BR5" s="61">
        <v>2</v>
      </c>
      <c r="BS5" s="61">
        <v>3</v>
      </c>
      <c r="BT5" s="61">
        <v>4</v>
      </c>
      <c r="BU5" s="61">
        <v>5</v>
      </c>
      <c r="BV5" s="61">
        <v>6</v>
      </c>
      <c r="BW5" s="61">
        <v>7</v>
      </c>
      <c r="BX5" s="61">
        <v>8</v>
      </c>
      <c r="BY5" s="61">
        <v>9</v>
      </c>
      <c r="BZ5" s="61">
        <v>10</v>
      </c>
      <c r="CA5" s="61">
        <v>11</v>
      </c>
      <c r="CB5" s="62">
        <v>12</v>
      </c>
    </row>
    <row r="6" spans="1:80" ht="18" customHeight="1" x14ac:dyDescent="0.2">
      <c r="A6" s="69">
        <v>1</v>
      </c>
      <c r="B6" s="70" t="s">
        <v>529</v>
      </c>
      <c r="C6" s="71"/>
      <c r="D6" s="71"/>
      <c r="E6" s="71"/>
      <c r="F6" s="71"/>
      <c r="G6" s="72"/>
      <c r="H6" s="68">
        <v>46134</v>
      </c>
    </row>
    <row r="7" spans="1:80" ht="18" customHeight="1" x14ac:dyDescent="0.2">
      <c r="A7" s="73">
        <v>2</v>
      </c>
      <c r="B7" s="74"/>
      <c r="C7" s="75" t="s">
        <v>530</v>
      </c>
      <c r="D7" s="75"/>
      <c r="E7" s="75"/>
      <c r="F7" s="75"/>
      <c r="G7" s="76"/>
      <c r="H7" s="68">
        <v>46135</v>
      </c>
      <c r="N7" s="81"/>
      <c r="O7" s="81"/>
      <c r="P7" s="81"/>
      <c r="Q7" s="81"/>
      <c r="R7" s="81"/>
      <c r="S7" s="81"/>
      <c r="T7" s="82"/>
      <c r="U7" s="83"/>
      <c r="V7" s="81"/>
      <c r="W7" s="81"/>
      <c r="X7" s="81"/>
      <c r="Y7" s="81"/>
      <c r="Z7" s="81"/>
      <c r="AA7" s="81"/>
      <c r="AB7" s="81"/>
      <c r="AC7" s="81"/>
      <c r="AD7" s="81"/>
      <c r="AE7" s="81"/>
      <c r="AF7" s="82"/>
      <c r="AG7" s="83"/>
      <c r="AH7" s="81"/>
      <c r="AI7" s="81"/>
      <c r="AJ7" s="81"/>
      <c r="AK7" s="81"/>
      <c r="AL7" s="81"/>
      <c r="AM7" s="81"/>
      <c r="AN7" s="81"/>
      <c r="AO7" s="81"/>
      <c r="AP7" s="81"/>
      <c r="AQ7" s="81"/>
      <c r="AR7" s="82"/>
      <c r="AS7" s="83"/>
      <c r="AT7" s="81"/>
      <c r="AU7" s="81"/>
      <c r="AV7" s="81"/>
      <c r="AW7" s="81"/>
      <c r="AX7" s="81"/>
      <c r="AY7" s="81"/>
      <c r="AZ7" s="81"/>
      <c r="BA7" s="81"/>
      <c r="BB7" s="81"/>
      <c r="BC7" s="81"/>
      <c r="BD7" s="82"/>
      <c r="BE7" s="83"/>
      <c r="BF7" s="81"/>
      <c r="BG7" s="81"/>
      <c r="BH7" s="81"/>
      <c r="BI7" s="81"/>
      <c r="BJ7" s="81"/>
      <c r="BK7" s="81"/>
      <c r="BL7" s="81"/>
      <c r="BM7" s="81"/>
      <c r="BN7" s="81"/>
      <c r="BO7" s="81"/>
      <c r="BP7" s="82"/>
      <c r="BQ7" s="83"/>
      <c r="BR7" s="81"/>
      <c r="BS7" s="81"/>
    </row>
    <row r="8" spans="1:80" ht="18" customHeight="1" x14ac:dyDescent="0.2">
      <c r="A8" s="11">
        <v>3</v>
      </c>
      <c r="B8" s="66"/>
      <c r="C8" s="67"/>
      <c r="D8" s="77" t="s">
        <v>531</v>
      </c>
      <c r="E8" s="77"/>
      <c r="F8" s="77"/>
      <c r="G8" s="78"/>
      <c r="H8" s="68">
        <v>46136</v>
      </c>
      <c r="X8" s="84"/>
      <c r="Y8" s="84"/>
      <c r="Z8" s="84"/>
      <c r="AA8" s="84"/>
      <c r="AB8" s="84"/>
      <c r="AC8" s="84"/>
    </row>
    <row r="9" spans="1:80" ht="18" customHeight="1" x14ac:dyDescent="0.2">
      <c r="A9" s="11">
        <v>4</v>
      </c>
      <c r="B9" s="66"/>
      <c r="C9" s="67"/>
      <c r="D9" s="77" t="s">
        <v>532</v>
      </c>
      <c r="E9" s="77"/>
      <c r="F9" s="77"/>
      <c r="G9" s="78"/>
      <c r="H9" s="68">
        <v>46137</v>
      </c>
      <c r="AA9" s="84"/>
      <c r="AB9" s="84"/>
      <c r="AC9" s="84"/>
      <c r="AD9" s="84"/>
      <c r="AE9" s="84"/>
      <c r="AF9" s="84"/>
    </row>
    <row r="10" spans="1:80" ht="18" customHeight="1" x14ac:dyDescent="0.2">
      <c r="A10" s="11">
        <v>5</v>
      </c>
      <c r="B10" s="66"/>
      <c r="C10" s="67"/>
      <c r="D10" s="77" t="s">
        <v>533</v>
      </c>
      <c r="E10" s="77"/>
      <c r="F10" s="77"/>
      <c r="G10" s="78"/>
      <c r="H10" s="68">
        <v>46138</v>
      </c>
      <c r="AD10" s="84"/>
      <c r="AE10" s="84"/>
      <c r="AF10" s="85"/>
      <c r="AG10" s="86"/>
      <c r="AH10" s="84"/>
      <c r="AI10" s="84"/>
    </row>
    <row r="11" spans="1:80" ht="18" customHeight="1" x14ac:dyDescent="0.2">
      <c r="A11" s="11">
        <v>6</v>
      </c>
      <c r="B11" s="66"/>
      <c r="C11" s="67"/>
      <c r="D11" s="77" t="s">
        <v>534</v>
      </c>
      <c r="E11" s="77"/>
      <c r="F11" s="77"/>
      <c r="G11" s="78"/>
      <c r="H11" s="68">
        <v>46139</v>
      </c>
      <c r="AH11" s="84"/>
      <c r="AI11" s="84"/>
      <c r="AJ11" s="84"/>
      <c r="AK11" s="84"/>
      <c r="AL11" s="84"/>
      <c r="AM11" s="84"/>
    </row>
    <row r="12" spans="1:80" ht="18" customHeight="1" x14ac:dyDescent="0.2">
      <c r="A12" s="11">
        <v>7</v>
      </c>
      <c r="B12" s="66"/>
      <c r="C12" s="67"/>
      <c r="D12" s="77" t="s">
        <v>535</v>
      </c>
      <c r="E12" s="77"/>
      <c r="F12" s="77"/>
      <c r="G12" s="78"/>
      <c r="H12" s="68">
        <v>46140</v>
      </c>
      <c r="AJ12" s="84"/>
      <c r="AK12" s="84"/>
      <c r="AL12" s="84"/>
      <c r="AM12" s="84"/>
      <c r="AN12" s="84"/>
      <c r="AO12" s="84"/>
    </row>
    <row r="13" spans="1:80" ht="18" customHeight="1" x14ac:dyDescent="0.2">
      <c r="A13" s="11">
        <v>8</v>
      </c>
      <c r="B13" s="66"/>
      <c r="C13" s="67"/>
      <c r="D13" s="79" t="s">
        <v>536</v>
      </c>
      <c r="E13" s="79"/>
      <c r="F13" s="79"/>
      <c r="G13" s="80"/>
      <c r="H13" s="68">
        <v>46141</v>
      </c>
      <c r="U13" s="87"/>
      <c r="V13" s="88"/>
      <c r="W13" s="88"/>
      <c r="X13" s="88"/>
      <c r="Y13" s="88"/>
      <c r="Z13" s="88"/>
      <c r="AA13" s="88"/>
      <c r="AB13" s="88"/>
      <c r="AC13" s="88"/>
    </row>
    <row r="14" spans="1:80" ht="18" customHeight="1" x14ac:dyDescent="0.2">
      <c r="A14" s="11">
        <v>9</v>
      </c>
      <c r="B14" s="66"/>
      <c r="C14" s="67"/>
      <c r="D14" s="79" t="s">
        <v>537</v>
      </c>
      <c r="E14" s="79"/>
      <c r="F14" s="79"/>
      <c r="G14" s="80"/>
      <c r="H14" s="68">
        <v>46142</v>
      </c>
      <c r="AG14" s="87"/>
      <c r="AH14" s="88"/>
      <c r="AI14" s="88"/>
      <c r="AJ14" s="88"/>
      <c r="AK14" s="88"/>
      <c r="AL14" s="88"/>
      <c r="AM14" s="88"/>
      <c r="AN14" s="88"/>
    </row>
    <row r="15" spans="1:80" ht="18" customHeight="1" x14ac:dyDescent="0.2">
      <c r="A15" s="73">
        <v>2</v>
      </c>
      <c r="B15" s="74"/>
      <c r="C15" s="75" t="s">
        <v>530</v>
      </c>
      <c r="D15" s="75"/>
      <c r="E15" s="75"/>
      <c r="F15" s="75"/>
      <c r="G15" s="76"/>
      <c r="H15" s="68">
        <v>46143</v>
      </c>
      <c r="N15" s="81"/>
      <c r="O15" s="81"/>
      <c r="P15" s="81"/>
      <c r="Q15" s="81"/>
      <c r="R15" s="81"/>
      <c r="S15" s="81"/>
      <c r="T15" s="82"/>
      <c r="U15" s="83"/>
      <c r="V15" s="81"/>
      <c r="W15" s="81"/>
      <c r="X15" s="81"/>
      <c r="Y15" s="81"/>
      <c r="Z15" s="81"/>
      <c r="AA15" s="81"/>
      <c r="AB15" s="81"/>
      <c r="AC15" s="81"/>
      <c r="AD15" s="81"/>
      <c r="AE15" s="81"/>
      <c r="AF15" s="82"/>
      <c r="AG15" s="83"/>
      <c r="AH15" s="81"/>
      <c r="AI15" s="81"/>
      <c r="AJ15" s="81"/>
      <c r="AK15" s="81"/>
      <c r="AL15" s="81"/>
      <c r="AM15" s="81"/>
      <c r="AN15" s="81"/>
      <c r="AO15" s="81"/>
      <c r="AP15" s="81"/>
      <c r="AQ15" s="81"/>
      <c r="AR15" s="82"/>
      <c r="AS15" s="83"/>
      <c r="AT15" s="81"/>
      <c r="AU15" s="81"/>
      <c r="AV15" s="81"/>
      <c r="AW15" s="81"/>
      <c r="AX15" s="81"/>
      <c r="AY15" s="81"/>
      <c r="AZ15" s="81"/>
      <c r="BA15" s="81"/>
      <c r="BB15" s="81"/>
      <c r="BC15" s="81"/>
      <c r="BD15" s="82"/>
      <c r="BE15" s="83"/>
      <c r="BF15" s="81"/>
      <c r="BG15" s="81"/>
      <c r="BH15" s="81"/>
      <c r="BI15" s="81"/>
      <c r="BJ15" s="81"/>
      <c r="BK15" s="81"/>
      <c r="BL15" s="81"/>
      <c r="BM15" s="81"/>
      <c r="BN15" s="81"/>
      <c r="BO15" s="81"/>
      <c r="BP15" s="82"/>
      <c r="BQ15" s="83"/>
      <c r="BR15" s="81"/>
      <c r="BS15" s="81"/>
    </row>
    <row r="16" spans="1:80" ht="18" customHeight="1" x14ac:dyDescent="0.2">
      <c r="A16" s="11">
        <v>3</v>
      </c>
      <c r="B16" s="66"/>
      <c r="C16" s="67"/>
      <c r="D16" s="77" t="s">
        <v>531</v>
      </c>
      <c r="E16" s="77"/>
      <c r="F16" s="77"/>
      <c r="G16" s="78"/>
      <c r="H16" s="68">
        <v>46144</v>
      </c>
      <c r="X16" s="84"/>
      <c r="Y16" s="84"/>
      <c r="Z16" s="84"/>
      <c r="AA16" s="84"/>
      <c r="AB16" s="84"/>
      <c r="AC16" s="84"/>
    </row>
    <row r="17" spans="1:71" ht="18" customHeight="1" x14ac:dyDescent="0.2">
      <c r="A17" s="11">
        <v>4</v>
      </c>
      <c r="B17" s="66"/>
      <c r="C17" s="67"/>
      <c r="D17" s="77" t="s">
        <v>532</v>
      </c>
      <c r="E17" s="77"/>
      <c r="F17" s="77"/>
      <c r="G17" s="78"/>
      <c r="H17" s="68">
        <v>46145</v>
      </c>
      <c r="AA17" s="84"/>
      <c r="AB17" s="84"/>
      <c r="AC17" s="84"/>
      <c r="AD17" s="84"/>
      <c r="AE17" s="84"/>
      <c r="AF17" s="84"/>
    </row>
    <row r="18" spans="1:71" ht="18" customHeight="1" x14ac:dyDescent="0.2">
      <c r="A18" s="11">
        <v>5</v>
      </c>
      <c r="B18" s="66"/>
      <c r="C18" s="67"/>
      <c r="D18" s="77" t="s">
        <v>533</v>
      </c>
      <c r="E18" s="77"/>
      <c r="F18" s="77"/>
      <c r="G18" s="78"/>
      <c r="H18" s="68">
        <v>46146</v>
      </c>
      <c r="AD18" s="84"/>
      <c r="AE18" s="84"/>
      <c r="AF18" s="85"/>
      <c r="AG18" s="86"/>
      <c r="AH18" s="84"/>
      <c r="AI18" s="84"/>
    </row>
    <row r="19" spans="1:71" ht="18" customHeight="1" x14ac:dyDescent="0.2">
      <c r="A19" s="11">
        <v>6</v>
      </c>
      <c r="B19" s="66"/>
      <c r="C19" s="67"/>
      <c r="D19" s="77" t="s">
        <v>534</v>
      </c>
      <c r="E19" s="77"/>
      <c r="F19" s="77"/>
      <c r="G19" s="78"/>
      <c r="H19" s="68">
        <v>46147</v>
      </c>
      <c r="AH19" s="84"/>
      <c r="AI19" s="84"/>
      <c r="AJ19" s="84"/>
      <c r="AK19" s="84"/>
      <c r="AL19" s="84"/>
      <c r="AM19" s="84"/>
    </row>
    <row r="20" spans="1:71" ht="18" customHeight="1" x14ac:dyDescent="0.2">
      <c r="A20" s="11">
        <v>7</v>
      </c>
      <c r="B20" s="66"/>
      <c r="C20" s="67"/>
      <c r="D20" s="77" t="s">
        <v>535</v>
      </c>
      <c r="E20" s="77"/>
      <c r="F20" s="77"/>
      <c r="G20" s="78"/>
      <c r="H20" s="68">
        <v>46148</v>
      </c>
      <c r="AJ20" s="84"/>
      <c r="AK20" s="84"/>
      <c r="AL20" s="84"/>
      <c r="AM20" s="84"/>
      <c r="AN20" s="84"/>
      <c r="AO20" s="84"/>
    </row>
    <row r="21" spans="1:71" ht="18" customHeight="1" x14ac:dyDescent="0.2">
      <c r="A21" s="11">
        <v>8</v>
      </c>
      <c r="B21" s="66"/>
      <c r="C21" s="67"/>
      <c r="D21" s="79" t="s">
        <v>536</v>
      </c>
      <c r="E21" s="79"/>
      <c r="F21" s="79"/>
      <c r="G21" s="80"/>
      <c r="H21" s="68">
        <v>46149</v>
      </c>
      <c r="U21" s="87"/>
      <c r="V21" s="88"/>
      <c r="W21" s="88"/>
      <c r="X21" s="88"/>
      <c r="Y21" s="88"/>
      <c r="Z21" s="88"/>
      <c r="AA21" s="88"/>
      <c r="AB21" s="88"/>
      <c r="AC21" s="88"/>
    </row>
    <row r="22" spans="1:71" ht="18" customHeight="1" x14ac:dyDescent="0.2">
      <c r="A22" s="11">
        <v>9</v>
      </c>
      <c r="B22" s="66"/>
      <c r="C22" s="67"/>
      <c r="D22" s="79" t="s">
        <v>537</v>
      </c>
      <c r="E22" s="79"/>
      <c r="F22" s="79"/>
      <c r="G22" s="80"/>
      <c r="H22" s="68">
        <v>46150</v>
      </c>
      <c r="AG22" s="87"/>
      <c r="AH22" s="88"/>
      <c r="AI22" s="88"/>
      <c r="AJ22" s="88"/>
      <c r="AK22" s="88"/>
      <c r="AL22" s="88"/>
      <c r="AM22" s="88"/>
      <c r="AN22" s="88"/>
    </row>
    <row r="23" spans="1:71" ht="18" customHeight="1" x14ac:dyDescent="0.2">
      <c r="A23" s="73">
        <v>2</v>
      </c>
      <c r="B23" s="74"/>
      <c r="C23" s="75" t="s">
        <v>530</v>
      </c>
      <c r="D23" s="75"/>
      <c r="E23" s="75"/>
      <c r="F23" s="75"/>
      <c r="G23" s="76"/>
      <c r="H23" s="68">
        <v>46151</v>
      </c>
      <c r="N23" s="81"/>
      <c r="O23" s="81"/>
      <c r="P23" s="81"/>
      <c r="Q23" s="81"/>
      <c r="R23" s="81"/>
      <c r="S23" s="81"/>
      <c r="T23" s="82"/>
      <c r="U23" s="83"/>
      <c r="V23" s="81"/>
      <c r="W23" s="81"/>
      <c r="X23" s="81"/>
      <c r="Y23" s="81"/>
      <c r="Z23" s="81"/>
      <c r="AA23" s="81"/>
      <c r="AB23" s="81"/>
      <c r="AC23" s="81"/>
      <c r="AD23" s="81"/>
      <c r="AE23" s="81"/>
      <c r="AF23" s="82"/>
      <c r="AG23" s="83"/>
      <c r="AH23" s="81"/>
      <c r="AI23" s="81"/>
      <c r="AJ23" s="81"/>
      <c r="AK23" s="81"/>
      <c r="AL23" s="81"/>
      <c r="AM23" s="81"/>
      <c r="AN23" s="81"/>
      <c r="AO23" s="81"/>
      <c r="AP23" s="81"/>
      <c r="AQ23" s="81"/>
      <c r="AR23" s="82"/>
      <c r="AS23" s="83"/>
      <c r="AT23" s="81"/>
      <c r="AU23" s="81"/>
      <c r="AV23" s="81"/>
      <c r="AW23" s="81"/>
      <c r="AX23" s="81"/>
      <c r="AY23" s="81"/>
      <c r="AZ23" s="81"/>
      <c r="BA23" s="81"/>
      <c r="BB23" s="81"/>
      <c r="BC23" s="81"/>
      <c r="BD23" s="82"/>
      <c r="BE23" s="83"/>
      <c r="BF23" s="81"/>
      <c r="BG23" s="81"/>
      <c r="BH23" s="81"/>
      <c r="BI23" s="81"/>
      <c r="BJ23" s="81"/>
      <c r="BK23" s="81"/>
      <c r="BL23" s="81"/>
      <c r="BM23" s="81"/>
      <c r="BN23" s="81"/>
      <c r="BO23" s="81"/>
      <c r="BP23" s="82"/>
      <c r="BQ23" s="83"/>
      <c r="BR23" s="81"/>
      <c r="BS23" s="81"/>
    </row>
    <row r="24" spans="1:71" ht="18" customHeight="1" x14ac:dyDescent="0.2">
      <c r="A24" s="11">
        <v>3</v>
      </c>
      <c r="B24" s="66"/>
      <c r="C24" s="67"/>
      <c r="D24" s="77" t="s">
        <v>531</v>
      </c>
      <c r="E24" s="77"/>
      <c r="F24" s="77"/>
      <c r="G24" s="78"/>
      <c r="H24" s="68">
        <v>46152</v>
      </c>
      <c r="X24" s="84"/>
      <c r="Y24" s="84"/>
      <c r="Z24" s="84"/>
      <c r="AA24" s="84"/>
      <c r="AB24" s="84"/>
      <c r="AC24" s="84"/>
    </row>
    <row r="25" spans="1:71" ht="18" customHeight="1" x14ac:dyDescent="0.2">
      <c r="A25" s="11">
        <v>4</v>
      </c>
      <c r="B25" s="66"/>
      <c r="C25" s="67"/>
      <c r="D25" s="77" t="s">
        <v>532</v>
      </c>
      <c r="E25" s="77"/>
      <c r="F25" s="77"/>
      <c r="G25" s="78"/>
      <c r="H25" s="68">
        <v>46153</v>
      </c>
      <c r="AA25" s="84"/>
      <c r="AB25" s="84"/>
      <c r="AC25" s="84"/>
      <c r="AD25" s="84"/>
      <c r="AE25" s="84"/>
      <c r="AF25" s="84"/>
    </row>
    <row r="26" spans="1:71" ht="18" customHeight="1" x14ac:dyDescent="0.2">
      <c r="A26" s="11">
        <v>5</v>
      </c>
      <c r="B26" s="66"/>
      <c r="C26" s="67"/>
      <c r="D26" s="77" t="s">
        <v>533</v>
      </c>
      <c r="E26" s="77"/>
      <c r="F26" s="77"/>
      <c r="G26" s="78"/>
      <c r="H26" s="68">
        <v>46154</v>
      </c>
      <c r="AD26" s="84"/>
      <c r="AE26" s="84"/>
      <c r="AF26" s="85"/>
      <c r="AG26" s="86"/>
      <c r="AH26" s="84"/>
      <c r="AI26" s="84"/>
    </row>
    <row r="27" spans="1:71" ht="18" customHeight="1" x14ac:dyDescent="0.2">
      <c r="A27" s="11">
        <v>6</v>
      </c>
      <c r="B27" s="66"/>
      <c r="C27" s="67"/>
      <c r="D27" s="77" t="s">
        <v>534</v>
      </c>
      <c r="E27" s="77"/>
      <c r="F27" s="77"/>
      <c r="G27" s="78"/>
      <c r="H27" s="68">
        <v>46155</v>
      </c>
      <c r="AH27" s="84"/>
      <c r="AI27" s="84"/>
      <c r="AJ27" s="84"/>
      <c r="AK27" s="84"/>
      <c r="AL27" s="84"/>
      <c r="AM27" s="84"/>
    </row>
    <row r="28" spans="1:71" ht="18" customHeight="1" x14ac:dyDescent="0.2">
      <c r="A28" s="11">
        <v>7</v>
      </c>
      <c r="B28" s="66"/>
      <c r="C28" s="67"/>
      <c r="D28" s="77" t="s">
        <v>535</v>
      </c>
      <c r="E28" s="77"/>
      <c r="F28" s="77"/>
      <c r="G28" s="78"/>
      <c r="H28" s="68">
        <v>46156</v>
      </c>
      <c r="AJ28" s="84"/>
      <c r="AK28" s="84"/>
      <c r="AL28" s="84"/>
      <c r="AM28" s="84"/>
      <c r="AN28" s="84"/>
      <c r="AO28" s="84"/>
    </row>
    <row r="29" spans="1:71" ht="18" customHeight="1" x14ac:dyDescent="0.2">
      <c r="A29" s="11">
        <v>8</v>
      </c>
      <c r="B29" s="66"/>
      <c r="C29" s="67"/>
      <c r="D29" s="79" t="s">
        <v>536</v>
      </c>
      <c r="E29" s="79"/>
      <c r="F29" s="79"/>
      <c r="G29" s="80"/>
      <c r="H29" s="68">
        <v>46157</v>
      </c>
      <c r="U29" s="87"/>
      <c r="V29" s="88"/>
      <c r="W29" s="88"/>
      <c r="X29" s="88"/>
      <c r="Y29" s="88"/>
      <c r="Z29" s="88"/>
      <c r="AA29" s="88"/>
      <c r="AB29" s="88"/>
      <c r="AC29" s="88"/>
    </row>
    <row r="30" spans="1:71" ht="18" customHeight="1" x14ac:dyDescent="0.2">
      <c r="A30" s="11">
        <v>9</v>
      </c>
      <c r="B30" s="66"/>
      <c r="C30" s="67"/>
      <c r="D30" s="79" t="s">
        <v>537</v>
      </c>
      <c r="E30" s="79"/>
      <c r="F30" s="79"/>
      <c r="G30" s="80"/>
      <c r="H30" s="68">
        <v>46158</v>
      </c>
      <c r="AG30" s="87"/>
      <c r="AH30" s="88"/>
      <c r="AI30" s="88"/>
      <c r="AJ30" s="88"/>
      <c r="AK30" s="88"/>
      <c r="AL30" s="88"/>
      <c r="AM30" s="88"/>
      <c r="AN30" s="88"/>
    </row>
    <row r="31" spans="1:71" ht="18" customHeight="1" x14ac:dyDescent="0.2">
      <c r="A31" s="69">
        <v>1</v>
      </c>
      <c r="B31" s="70" t="s">
        <v>529</v>
      </c>
      <c r="C31" s="71"/>
      <c r="D31" s="71"/>
      <c r="E31" s="71"/>
      <c r="F31" s="71"/>
      <c r="G31" s="72"/>
      <c r="H31" s="68">
        <v>46159</v>
      </c>
    </row>
    <row r="32" spans="1:71" ht="18" customHeight="1" x14ac:dyDescent="0.2">
      <c r="A32" s="73">
        <v>2</v>
      </c>
      <c r="B32" s="74"/>
      <c r="C32" s="75" t="s">
        <v>530</v>
      </c>
      <c r="D32" s="75"/>
      <c r="E32" s="75"/>
      <c r="F32" s="75"/>
      <c r="G32" s="76"/>
      <c r="H32" s="68">
        <v>46160</v>
      </c>
      <c r="N32" s="81"/>
      <c r="O32" s="81"/>
      <c r="P32" s="81"/>
      <c r="Q32" s="81"/>
      <c r="R32" s="81"/>
      <c r="S32" s="81"/>
      <c r="T32" s="82"/>
      <c r="U32" s="83"/>
      <c r="V32" s="81"/>
      <c r="W32" s="81"/>
      <c r="X32" s="81"/>
      <c r="Y32" s="81"/>
      <c r="Z32" s="81"/>
      <c r="AA32" s="81"/>
      <c r="AB32" s="81"/>
      <c r="AC32" s="81"/>
      <c r="AD32" s="81"/>
      <c r="AE32" s="81"/>
      <c r="AF32" s="82"/>
      <c r="AG32" s="83"/>
      <c r="AH32" s="81"/>
      <c r="AI32" s="81"/>
      <c r="AJ32" s="81"/>
      <c r="AK32" s="81"/>
      <c r="AL32" s="81"/>
      <c r="AM32" s="81"/>
      <c r="AN32" s="81"/>
      <c r="AO32" s="81"/>
      <c r="AP32" s="81"/>
      <c r="AQ32" s="81"/>
      <c r="AR32" s="82"/>
      <c r="AS32" s="83"/>
      <c r="AT32" s="81"/>
      <c r="AU32" s="81"/>
      <c r="AV32" s="81"/>
      <c r="AW32" s="81"/>
      <c r="AX32" s="81"/>
      <c r="AY32" s="81"/>
      <c r="AZ32" s="81"/>
      <c r="BA32" s="81"/>
      <c r="BB32" s="81"/>
      <c r="BC32" s="81"/>
      <c r="BD32" s="82"/>
      <c r="BE32" s="83"/>
      <c r="BF32" s="81"/>
      <c r="BG32" s="81"/>
      <c r="BH32" s="81"/>
      <c r="BI32" s="81"/>
      <c r="BJ32" s="81"/>
      <c r="BK32" s="81"/>
      <c r="BL32" s="81"/>
      <c r="BM32" s="81"/>
      <c r="BN32" s="81"/>
      <c r="BO32" s="81"/>
      <c r="BP32" s="82"/>
      <c r="BQ32" s="83"/>
      <c r="BR32" s="81"/>
      <c r="BS32" s="81"/>
    </row>
    <row r="33" spans="1:71" ht="18" customHeight="1" x14ac:dyDescent="0.2">
      <c r="A33" s="11">
        <v>3</v>
      </c>
      <c r="B33" s="66"/>
      <c r="C33" s="67"/>
      <c r="D33" s="77" t="s">
        <v>531</v>
      </c>
      <c r="E33" s="77"/>
      <c r="F33" s="77"/>
      <c r="G33" s="78"/>
      <c r="H33" s="68">
        <v>46161</v>
      </c>
      <c r="X33" s="84"/>
      <c r="Y33" s="84"/>
      <c r="Z33" s="84"/>
      <c r="AA33" s="84"/>
      <c r="AB33" s="84"/>
      <c r="AC33" s="84"/>
    </row>
    <row r="34" spans="1:71" ht="18" customHeight="1" x14ac:dyDescent="0.2">
      <c r="A34" s="11">
        <v>4</v>
      </c>
      <c r="B34" s="66"/>
      <c r="C34" s="67"/>
      <c r="D34" s="77" t="s">
        <v>532</v>
      </c>
      <c r="E34" s="77"/>
      <c r="F34" s="77"/>
      <c r="G34" s="78"/>
      <c r="H34" s="68">
        <v>46162</v>
      </c>
      <c r="AA34" s="84"/>
      <c r="AB34" s="84"/>
      <c r="AC34" s="84"/>
      <c r="AD34" s="84"/>
      <c r="AE34" s="84"/>
      <c r="AF34" s="84"/>
    </row>
    <row r="35" spans="1:71" ht="18" customHeight="1" x14ac:dyDescent="0.2">
      <c r="A35" s="11">
        <v>5</v>
      </c>
      <c r="B35" s="66"/>
      <c r="C35" s="67"/>
      <c r="D35" s="77" t="s">
        <v>533</v>
      </c>
      <c r="E35" s="77"/>
      <c r="F35" s="77"/>
      <c r="G35" s="78"/>
      <c r="H35" s="68">
        <v>46163</v>
      </c>
      <c r="AD35" s="84"/>
      <c r="AE35" s="84"/>
      <c r="AF35" s="85"/>
      <c r="AG35" s="86"/>
      <c r="AH35" s="84"/>
      <c r="AI35" s="84"/>
    </row>
    <row r="36" spans="1:71" ht="18" customHeight="1" x14ac:dyDescent="0.2">
      <c r="A36" s="11">
        <v>6</v>
      </c>
      <c r="B36" s="66"/>
      <c r="C36" s="67"/>
      <c r="D36" s="77" t="s">
        <v>534</v>
      </c>
      <c r="E36" s="77"/>
      <c r="F36" s="77"/>
      <c r="G36" s="78"/>
      <c r="H36" s="68">
        <v>46164</v>
      </c>
      <c r="AH36" s="84"/>
      <c r="AI36" s="84"/>
      <c r="AJ36" s="84"/>
      <c r="AK36" s="84"/>
      <c r="AL36" s="84"/>
      <c r="AM36" s="84"/>
    </row>
    <row r="37" spans="1:71" ht="18" customHeight="1" x14ac:dyDescent="0.2">
      <c r="A37" s="11">
        <v>7</v>
      </c>
      <c r="B37" s="66"/>
      <c r="C37" s="67"/>
      <c r="D37" s="77" t="s">
        <v>535</v>
      </c>
      <c r="E37" s="77"/>
      <c r="F37" s="77"/>
      <c r="G37" s="78"/>
      <c r="H37" s="68">
        <v>46165</v>
      </c>
      <c r="AJ37" s="84"/>
      <c r="AK37" s="84"/>
      <c r="AL37" s="84"/>
      <c r="AM37" s="84"/>
      <c r="AN37" s="84"/>
      <c r="AO37" s="84"/>
    </row>
    <row r="38" spans="1:71" ht="18" customHeight="1" x14ac:dyDescent="0.2">
      <c r="A38" s="11">
        <v>8</v>
      </c>
      <c r="B38" s="66"/>
      <c r="C38" s="67"/>
      <c r="D38" s="79" t="s">
        <v>536</v>
      </c>
      <c r="E38" s="79"/>
      <c r="F38" s="79"/>
      <c r="G38" s="80"/>
      <c r="H38" s="68">
        <v>46166</v>
      </c>
      <c r="U38" s="87"/>
      <c r="V38" s="88"/>
      <c r="W38" s="88"/>
      <c r="X38" s="88"/>
      <c r="Y38" s="88"/>
      <c r="Z38" s="88"/>
      <c r="AA38" s="88"/>
      <c r="AB38" s="88"/>
      <c r="AC38" s="88"/>
    </row>
    <row r="39" spans="1:71" ht="18" customHeight="1" x14ac:dyDescent="0.2">
      <c r="A39" s="11">
        <v>9</v>
      </c>
      <c r="B39" s="66"/>
      <c r="C39" s="67"/>
      <c r="D39" s="79" t="s">
        <v>537</v>
      </c>
      <c r="E39" s="79"/>
      <c r="F39" s="79"/>
      <c r="G39" s="80"/>
      <c r="H39" s="68">
        <v>46167</v>
      </c>
      <c r="AG39" s="87"/>
      <c r="AH39" s="88"/>
      <c r="AI39" s="88"/>
      <c r="AJ39" s="88"/>
      <c r="AK39" s="88"/>
      <c r="AL39" s="88"/>
      <c r="AM39" s="88"/>
      <c r="AN39" s="88"/>
    </row>
    <row r="40" spans="1:71" ht="18" customHeight="1" x14ac:dyDescent="0.2">
      <c r="A40" s="73">
        <v>2</v>
      </c>
      <c r="B40" s="74"/>
      <c r="C40" s="75" t="s">
        <v>530</v>
      </c>
      <c r="D40" s="75"/>
      <c r="E40" s="75"/>
      <c r="F40" s="75"/>
      <c r="G40" s="76"/>
      <c r="H40" s="68">
        <v>46168</v>
      </c>
      <c r="N40" s="81"/>
      <c r="O40" s="81"/>
      <c r="P40" s="81"/>
      <c r="Q40" s="81"/>
      <c r="R40" s="81"/>
      <c r="S40" s="81"/>
      <c r="T40" s="82"/>
      <c r="U40" s="83"/>
      <c r="V40" s="81"/>
      <c r="W40" s="81"/>
      <c r="X40" s="81"/>
      <c r="Y40" s="81"/>
      <c r="Z40" s="81"/>
      <c r="AA40" s="81"/>
      <c r="AB40" s="81"/>
      <c r="AC40" s="81"/>
      <c r="AD40" s="81"/>
      <c r="AE40" s="81"/>
      <c r="AF40" s="82"/>
      <c r="AG40" s="83"/>
      <c r="AH40" s="81"/>
      <c r="AI40" s="81"/>
      <c r="AJ40" s="81"/>
      <c r="AK40" s="81"/>
      <c r="AL40" s="81"/>
      <c r="AM40" s="81"/>
      <c r="AN40" s="81"/>
      <c r="AO40" s="81"/>
      <c r="AP40" s="81"/>
      <c r="AQ40" s="81"/>
      <c r="AR40" s="82"/>
      <c r="AS40" s="83"/>
      <c r="AT40" s="81"/>
      <c r="AU40" s="81"/>
      <c r="AV40" s="81"/>
      <c r="AW40" s="81"/>
      <c r="AX40" s="81"/>
      <c r="AY40" s="81"/>
      <c r="AZ40" s="81"/>
      <c r="BA40" s="81"/>
      <c r="BB40" s="81"/>
      <c r="BC40" s="81"/>
      <c r="BD40" s="82"/>
      <c r="BE40" s="83"/>
      <c r="BF40" s="81"/>
      <c r="BG40" s="81"/>
      <c r="BH40" s="81"/>
      <c r="BI40" s="81"/>
      <c r="BJ40" s="81"/>
      <c r="BK40" s="81"/>
      <c r="BL40" s="81"/>
      <c r="BM40" s="81"/>
      <c r="BN40" s="81"/>
      <c r="BO40" s="81"/>
      <c r="BP40" s="82"/>
      <c r="BQ40" s="83"/>
      <c r="BR40" s="81"/>
      <c r="BS40" s="81"/>
    </row>
    <row r="41" spans="1:71" ht="18" customHeight="1" x14ac:dyDescent="0.2">
      <c r="A41" s="11">
        <v>3</v>
      </c>
      <c r="B41" s="66"/>
      <c r="C41" s="67"/>
      <c r="D41" s="77" t="s">
        <v>531</v>
      </c>
      <c r="E41" s="77"/>
      <c r="F41" s="77"/>
      <c r="G41" s="78"/>
      <c r="H41" s="68">
        <v>46169</v>
      </c>
      <c r="X41" s="84"/>
      <c r="Y41" s="84"/>
      <c r="Z41" s="84"/>
      <c r="AA41" s="84"/>
      <c r="AB41" s="84"/>
      <c r="AC41" s="84"/>
    </row>
    <row r="42" spans="1:71" ht="18" customHeight="1" x14ac:dyDescent="0.2">
      <c r="A42" s="11">
        <v>4</v>
      </c>
      <c r="B42" s="66"/>
      <c r="C42" s="67"/>
      <c r="D42" s="77" t="s">
        <v>532</v>
      </c>
      <c r="E42" s="77"/>
      <c r="F42" s="77"/>
      <c r="G42" s="78"/>
      <c r="H42" s="68">
        <v>46170</v>
      </c>
      <c r="AA42" s="84"/>
      <c r="AB42" s="84"/>
      <c r="AC42" s="84"/>
      <c r="AD42" s="84"/>
      <c r="AE42" s="84"/>
      <c r="AF42" s="84"/>
    </row>
    <row r="43" spans="1:71" ht="18" customHeight="1" x14ac:dyDescent="0.2">
      <c r="A43" s="11">
        <v>5</v>
      </c>
      <c r="B43" s="66"/>
      <c r="C43" s="67"/>
      <c r="D43" s="77" t="s">
        <v>533</v>
      </c>
      <c r="E43" s="77"/>
      <c r="F43" s="77"/>
      <c r="G43" s="78"/>
      <c r="H43" s="68">
        <v>46171</v>
      </c>
      <c r="AD43" s="84"/>
      <c r="AE43" s="84"/>
      <c r="AF43" s="85"/>
      <c r="AG43" s="86"/>
      <c r="AH43" s="84"/>
      <c r="AI43" s="84"/>
    </row>
    <row r="44" spans="1:71" ht="18" customHeight="1" x14ac:dyDescent="0.2">
      <c r="A44" s="11">
        <v>6</v>
      </c>
      <c r="B44" s="66"/>
      <c r="C44" s="67"/>
      <c r="D44" s="77" t="s">
        <v>534</v>
      </c>
      <c r="E44" s="77"/>
      <c r="F44" s="77"/>
      <c r="G44" s="78"/>
      <c r="H44" s="68">
        <v>46172</v>
      </c>
      <c r="AH44" s="84"/>
      <c r="AI44" s="84"/>
      <c r="AJ44" s="84"/>
      <c r="AK44" s="84"/>
      <c r="AL44" s="84"/>
      <c r="AM44" s="84"/>
    </row>
    <row r="45" spans="1:71" ht="18" customHeight="1" x14ac:dyDescent="0.2">
      <c r="A45" s="11">
        <v>7</v>
      </c>
      <c r="B45" s="66"/>
      <c r="C45" s="67"/>
      <c r="D45" s="77" t="s">
        <v>535</v>
      </c>
      <c r="E45" s="77"/>
      <c r="F45" s="77"/>
      <c r="G45" s="78"/>
      <c r="H45" s="68">
        <v>46173</v>
      </c>
      <c r="AJ45" s="84"/>
      <c r="AK45" s="84"/>
      <c r="AL45" s="84"/>
      <c r="AM45" s="84"/>
      <c r="AN45" s="84"/>
      <c r="AO45" s="84"/>
    </row>
    <row r="46" spans="1:71" ht="18" customHeight="1" x14ac:dyDescent="0.2">
      <c r="A46" s="11">
        <v>8</v>
      </c>
      <c r="B46" s="66"/>
      <c r="C46" s="67"/>
      <c r="D46" s="79" t="s">
        <v>536</v>
      </c>
      <c r="E46" s="79"/>
      <c r="F46" s="79"/>
      <c r="G46" s="80"/>
      <c r="H46" s="68">
        <v>46174</v>
      </c>
      <c r="U46" s="87"/>
      <c r="V46" s="88"/>
      <c r="W46" s="88"/>
      <c r="X46" s="88"/>
      <c r="Y46" s="88"/>
      <c r="Z46" s="88"/>
      <c r="AA46" s="88"/>
      <c r="AB46" s="88"/>
      <c r="AC46" s="88"/>
    </row>
    <row r="47" spans="1:71" ht="18" customHeight="1" x14ac:dyDescent="0.2">
      <c r="A47" s="11">
        <v>9</v>
      </c>
      <c r="B47" s="66"/>
      <c r="C47" s="67"/>
      <c r="D47" s="79" t="s">
        <v>537</v>
      </c>
      <c r="E47" s="79"/>
      <c r="F47" s="79"/>
      <c r="G47" s="80"/>
      <c r="H47" s="68">
        <v>46175</v>
      </c>
      <c r="AG47" s="87"/>
      <c r="AH47" s="88"/>
      <c r="AI47" s="88"/>
      <c r="AJ47" s="88"/>
      <c r="AK47" s="88"/>
      <c r="AL47" s="88"/>
      <c r="AM47" s="88"/>
      <c r="AN47" s="88"/>
    </row>
    <row r="48" spans="1:71" ht="18" customHeight="1" x14ac:dyDescent="0.2">
      <c r="A48" s="73">
        <v>2</v>
      </c>
      <c r="B48" s="74"/>
      <c r="C48" s="75" t="s">
        <v>530</v>
      </c>
      <c r="D48" s="75"/>
      <c r="E48" s="75"/>
      <c r="F48" s="75"/>
      <c r="G48" s="76"/>
      <c r="H48" s="68">
        <v>46176</v>
      </c>
      <c r="N48" s="81"/>
      <c r="O48" s="81"/>
      <c r="P48" s="81"/>
      <c r="Q48" s="81"/>
      <c r="R48" s="81"/>
      <c r="S48" s="81"/>
      <c r="T48" s="82"/>
      <c r="U48" s="83"/>
      <c r="V48" s="81"/>
      <c r="W48" s="81"/>
      <c r="X48" s="81"/>
      <c r="Y48" s="81"/>
      <c r="Z48" s="81"/>
      <c r="AA48" s="81"/>
      <c r="AB48" s="81"/>
      <c r="AC48" s="81"/>
      <c r="AD48" s="81"/>
      <c r="AE48" s="81"/>
      <c r="AF48" s="82"/>
      <c r="AG48" s="83"/>
      <c r="AH48" s="81"/>
      <c r="AI48" s="81"/>
      <c r="AJ48" s="81"/>
      <c r="AK48" s="81"/>
      <c r="AL48" s="81"/>
      <c r="AM48" s="81"/>
      <c r="AN48" s="81"/>
      <c r="AO48" s="81"/>
      <c r="AP48" s="81"/>
      <c r="AQ48" s="81"/>
      <c r="AR48" s="82"/>
      <c r="AS48" s="83"/>
      <c r="AT48" s="81"/>
      <c r="AU48" s="81"/>
      <c r="AV48" s="81"/>
      <c r="AW48" s="81"/>
      <c r="AX48" s="81"/>
      <c r="AY48" s="81"/>
      <c r="AZ48" s="81"/>
      <c r="BA48" s="81"/>
      <c r="BB48" s="81"/>
      <c r="BC48" s="81"/>
      <c r="BD48" s="82"/>
      <c r="BE48" s="83"/>
      <c r="BF48" s="81"/>
      <c r="BG48" s="81"/>
      <c r="BH48" s="81"/>
      <c r="BI48" s="81"/>
      <c r="BJ48" s="81"/>
      <c r="BK48" s="81"/>
      <c r="BL48" s="81"/>
      <c r="BM48" s="81"/>
      <c r="BN48" s="81"/>
      <c r="BO48" s="81"/>
      <c r="BP48" s="82"/>
      <c r="BQ48" s="83"/>
      <c r="BR48" s="81"/>
      <c r="BS48" s="81"/>
    </row>
    <row r="49" spans="1:41" ht="18" customHeight="1" x14ac:dyDescent="0.2">
      <c r="A49" s="11">
        <v>3</v>
      </c>
      <c r="B49" s="66"/>
      <c r="C49" s="67"/>
      <c r="D49" s="77" t="s">
        <v>531</v>
      </c>
      <c r="E49" s="77"/>
      <c r="F49" s="77"/>
      <c r="G49" s="78"/>
      <c r="H49" s="68">
        <v>46177</v>
      </c>
      <c r="X49" s="84"/>
      <c r="Y49" s="84"/>
      <c r="Z49" s="84"/>
      <c r="AA49" s="84"/>
      <c r="AB49" s="84"/>
      <c r="AC49" s="84"/>
    </row>
    <row r="50" spans="1:41" ht="18" customHeight="1" x14ac:dyDescent="0.2">
      <c r="A50" s="11">
        <v>4</v>
      </c>
      <c r="B50" s="66"/>
      <c r="C50" s="67"/>
      <c r="D50" s="77" t="s">
        <v>532</v>
      </c>
      <c r="E50" s="77"/>
      <c r="F50" s="77"/>
      <c r="G50" s="78"/>
      <c r="H50" s="68">
        <v>46178</v>
      </c>
      <c r="AA50" s="84"/>
      <c r="AB50" s="84"/>
      <c r="AC50" s="84"/>
      <c r="AD50" s="84"/>
      <c r="AE50" s="84"/>
      <c r="AF50" s="84"/>
    </row>
    <row r="51" spans="1:41" ht="18" customHeight="1" x14ac:dyDescent="0.2">
      <c r="A51" s="11">
        <v>5</v>
      </c>
      <c r="B51" s="66"/>
      <c r="C51" s="67"/>
      <c r="D51" s="77" t="s">
        <v>533</v>
      </c>
      <c r="E51" s="77"/>
      <c r="F51" s="77"/>
      <c r="G51" s="78"/>
      <c r="H51" s="68">
        <v>46179</v>
      </c>
      <c r="AD51" s="84"/>
      <c r="AE51" s="84"/>
      <c r="AF51" s="85"/>
      <c r="AG51" s="86"/>
      <c r="AH51" s="84"/>
      <c r="AI51" s="84"/>
    </row>
    <row r="52" spans="1:41" ht="18" customHeight="1" x14ac:dyDescent="0.2">
      <c r="A52" s="11">
        <v>6</v>
      </c>
      <c r="B52" s="66"/>
      <c r="C52" s="67"/>
      <c r="D52" s="77" t="s">
        <v>534</v>
      </c>
      <c r="E52" s="77"/>
      <c r="F52" s="77"/>
      <c r="G52" s="78"/>
      <c r="H52" s="68">
        <v>46180</v>
      </c>
      <c r="AH52" s="84"/>
      <c r="AI52" s="84"/>
      <c r="AJ52" s="84"/>
      <c r="AK52" s="84"/>
      <c r="AL52" s="84"/>
      <c r="AM52" s="84"/>
    </row>
    <row r="53" spans="1:41" ht="18" customHeight="1" x14ac:dyDescent="0.2">
      <c r="A53" s="11">
        <v>7</v>
      </c>
      <c r="B53" s="66"/>
      <c r="C53" s="67"/>
      <c r="D53" s="77" t="s">
        <v>535</v>
      </c>
      <c r="E53" s="77"/>
      <c r="F53" s="77"/>
      <c r="G53" s="78"/>
      <c r="H53" s="68">
        <v>46181</v>
      </c>
      <c r="AJ53" s="84"/>
      <c r="AK53" s="84"/>
      <c r="AL53" s="84"/>
      <c r="AM53" s="84"/>
      <c r="AN53" s="84"/>
      <c r="AO53" s="84"/>
    </row>
    <row r="54" spans="1:41" ht="18" customHeight="1" x14ac:dyDescent="0.2">
      <c r="A54" s="11">
        <v>8</v>
      </c>
      <c r="B54" s="66"/>
      <c r="C54" s="67"/>
      <c r="D54" s="79" t="s">
        <v>536</v>
      </c>
      <c r="E54" s="79"/>
      <c r="F54" s="79"/>
      <c r="G54" s="80"/>
      <c r="H54" s="68">
        <v>46182</v>
      </c>
      <c r="U54" s="87"/>
      <c r="V54" s="88"/>
      <c r="W54" s="88"/>
      <c r="X54" s="88"/>
      <c r="Y54" s="88"/>
      <c r="Z54" s="88"/>
      <c r="AA54" s="88"/>
      <c r="AB54" s="88"/>
      <c r="AC54" s="88"/>
    </row>
    <row r="55" spans="1:41" ht="18" customHeight="1" x14ac:dyDescent="0.2">
      <c r="A55" s="11">
        <v>9</v>
      </c>
      <c r="B55" s="66"/>
      <c r="C55" s="67"/>
      <c r="D55" s="79" t="s">
        <v>537</v>
      </c>
      <c r="E55" s="79"/>
      <c r="F55" s="79"/>
      <c r="G55" s="80"/>
      <c r="H55" s="68">
        <v>46183</v>
      </c>
      <c r="AG55" s="87"/>
      <c r="AH55" s="88"/>
      <c r="AI55" s="88"/>
      <c r="AJ55" s="88"/>
      <c r="AK55" s="88"/>
      <c r="AL55" s="88"/>
      <c r="AM55" s="88"/>
      <c r="AN55" s="88"/>
    </row>
  </sheetData>
  <mergeCells count="47">
    <mergeCell ref="D53:G53"/>
    <mergeCell ref="D45:G45"/>
    <mergeCell ref="C48:G48"/>
    <mergeCell ref="D49:G49"/>
    <mergeCell ref="D50:G50"/>
    <mergeCell ref="D51:G51"/>
    <mergeCell ref="D52:G52"/>
    <mergeCell ref="D37:G37"/>
    <mergeCell ref="C40:G40"/>
    <mergeCell ref="D41:G41"/>
    <mergeCell ref="D42:G42"/>
    <mergeCell ref="D43:G43"/>
    <mergeCell ref="D44:G44"/>
    <mergeCell ref="B31:G31"/>
    <mergeCell ref="C32:G32"/>
    <mergeCell ref="D33:G33"/>
    <mergeCell ref="D34:G34"/>
    <mergeCell ref="D35:G35"/>
    <mergeCell ref="D36:G36"/>
    <mergeCell ref="C23:G23"/>
    <mergeCell ref="D24:G24"/>
    <mergeCell ref="D25:G25"/>
    <mergeCell ref="D26:G26"/>
    <mergeCell ref="D27:G27"/>
    <mergeCell ref="D28:G28"/>
    <mergeCell ref="C15:G15"/>
    <mergeCell ref="D16:G16"/>
    <mergeCell ref="D17:G17"/>
    <mergeCell ref="D18:G18"/>
    <mergeCell ref="D19:G19"/>
    <mergeCell ref="D20:G20"/>
    <mergeCell ref="C7:G7"/>
    <mergeCell ref="D8:G8"/>
    <mergeCell ref="D9:G9"/>
    <mergeCell ref="D10:G10"/>
    <mergeCell ref="D11:G11"/>
    <mergeCell ref="D12:G12"/>
    <mergeCell ref="BQ4:CB4"/>
    <mergeCell ref="H4:H5"/>
    <mergeCell ref="B4:G5"/>
    <mergeCell ref="A4:A5"/>
    <mergeCell ref="B6:G6"/>
    <mergeCell ref="I4:T4"/>
    <mergeCell ref="U4:AF4"/>
    <mergeCell ref="AG4:AR4"/>
    <mergeCell ref="AS4:BD4"/>
    <mergeCell ref="BE4:BP4"/>
  </mergeCells>
  <phoneticPr fontId="6" type="noConversion"/>
  <pageMargins left="0.25" right="0.25" top="0.75" bottom="0.75" header="0.3" footer="0.3"/>
  <pageSetup paperSize="9" orientation="landscape"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A52E8-3E6C-B544-B7CE-306A23E7CED5}">
  <dimension ref="A1:X43"/>
  <sheetViews>
    <sheetView workbookViewId="0">
      <selection activeCell="U29" sqref="U29"/>
    </sheetView>
  </sheetViews>
  <sheetFormatPr baseColWidth="10" defaultRowHeight="18" customHeight="1" x14ac:dyDescent="0.2"/>
  <cols>
    <col min="1" max="12" width="10.83203125" style="2"/>
    <col min="13" max="16384" width="10.83203125" style="3"/>
  </cols>
  <sheetData>
    <row r="1" spans="1:24" ht="18" customHeight="1" x14ac:dyDescent="0.2">
      <c r="A1" s="56" t="s">
        <v>523</v>
      </c>
      <c r="B1" s="56"/>
      <c r="C1" s="37" t="s">
        <v>539</v>
      </c>
      <c r="D1" s="37"/>
      <c r="E1" s="37"/>
      <c r="F1" s="37"/>
    </row>
    <row r="2" spans="1:24" ht="18" customHeight="1" x14ac:dyDescent="0.2">
      <c r="A2" s="56" t="s">
        <v>524</v>
      </c>
      <c r="B2" s="56"/>
      <c r="C2" s="37" t="s">
        <v>540</v>
      </c>
      <c r="D2" s="37"/>
      <c r="E2" s="37"/>
      <c r="F2" s="37"/>
    </row>
    <row r="4" spans="1:24" ht="18" customHeight="1" x14ac:dyDescent="0.2">
      <c r="A4" s="50" t="s">
        <v>42</v>
      </c>
      <c r="B4" s="50" t="s">
        <v>61</v>
      </c>
      <c r="C4" s="50"/>
      <c r="D4" s="50"/>
      <c r="E4" s="50"/>
      <c r="F4" s="50"/>
      <c r="G4" s="50" t="s">
        <v>60</v>
      </c>
      <c r="H4" s="50"/>
      <c r="I4" s="50"/>
      <c r="J4" s="50"/>
      <c r="K4" s="50"/>
      <c r="L4" s="50"/>
      <c r="M4" s="50"/>
      <c r="N4" s="50"/>
      <c r="O4" s="51" t="s">
        <v>62</v>
      </c>
      <c r="P4" s="52"/>
      <c r="Q4" s="53"/>
      <c r="R4" s="51" t="s">
        <v>67</v>
      </c>
      <c r="S4" s="52"/>
      <c r="T4" s="53"/>
      <c r="U4" s="51" t="s">
        <v>68</v>
      </c>
      <c r="V4" s="52"/>
      <c r="W4" s="53"/>
      <c r="X4" s="50" t="s">
        <v>538</v>
      </c>
    </row>
    <row r="5" spans="1:24" ht="18" customHeight="1" x14ac:dyDescent="0.2">
      <c r="A5" s="50"/>
      <c r="B5" s="49" t="s">
        <v>69</v>
      </c>
      <c r="C5" s="49" t="s">
        <v>43</v>
      </c>
      <c r="D5" s="49" t="s">
        <v>44</v>
      </c>
      <c r="E5" s="49" t="s">
        <v>45</v>
      </c>
      <c r="F5" s="49" t="s">
        <v>46</v>
      </c>
      <c r="G5" s="49" t="s">
        <v>47</v>
      </c>
      <c r="H5" s="49" t="s">
        <v>48</v>
      </c>
      <c r="I5" s="49" t="s">
        <v>49</v>
      </c>
      <c r="J5" s="49" t="s">
        <v>50</v>
      </c>
      <c r="K5" s="49" t="s">
        <v>51</v>
      </c>
      <c r="L5" s="49" t="s">
        <v>52</v>
      </c>
      <c r="M5" s="49" t="s">
        <v>53</v>
      </c>
      <c r="N5" s="49" t="s">
        <v>54</v>
      </c>
      <c r="O5" s="49" t="s">
        <v>55</v>
      </c>
      <c r="P5" s="49" t="s">
        <v>56</v>
      </c>
      <c r="Q5" s="49" t="s">
        <v>57</v>
      </c>
      <c r="R5" s="49" t="s">
        <v>58</v>
      </c>
      <c r="S5" s="49" t="s">
        <v>59</v>
      </c>
      <c r="T5" s="49" t="s">
        <v>63</v>
      </c>
      <c r="U5" s="49" t="s">
        <v>64</v>
      </c>
      <c r="V5" s="49" t="s">
        <v>65</v>
      </c>
      <c r="W5" s="49" t="s">
        <v>66</v>
      </c>
      <c r="X5" s="50"/>
    </row>
    <row r="6" spans="1:24" ht="18" customHeight="1" x14ac:dyDescent="0.2">
      <c r="A6" s="11">
        <v>1</v>
      </c>
      <c r="B6" s="11" t="s">
        <v>72</v>
      </c>
      <c r="C6" s="11" t="s">
        <v>73</v>
      </c>
      <c r="D6" s="11" t="s">
        <v>74</v>
      </c>
      <c r="E6" s="11" t="s">
        <v>75</v>
      </c>
      <c r="F6" s="11" t="s">
        <v>76</v>
      </c>
      <c r="G6" s="11" t="s">
        <v>47</v>
      </c>
      <c r="H6" s="11" t="s">
        <v>77</v>
      </c>
      <c r="I6" s="11"/>
      <c r="J6" s="11"/>
      <c r="K6" s="11"/>
      <c r="L6" s="11"/>
      <c r="M6" s="14"/>
      <c r="N6" s="14"/>
      <c r="O6" s="14"/>
      <c r="P6" s="14"/>
      <c r="Q6" s="14"/>
      <c r="R6" s="14"/>
      <c r="S6" s="14"/>
      <c r="T6" s="14"/>
      <c r="U6" s="14"/>
      <c r="V6" s="14"/>
      <c r="W6" s="14"/>
      <c r="X6" s="89">
        <v>0.8</v>
      </c>
    </row>
    <row r="7" spans="1:24" ht="18" customHeight="1" x14ac:dyDescent="0.2">
      <c r="A7" s="11">
        <v>2</v>
      </c>
      <c r="B7" s="11" t="s">
        <v>82</v>
      </c>
      <c r="C7" s="11" t="s">
        <v>83</v>
      </c>
      <c r="D7" s="11" t="s">
        <v>84</v>
      </c>
      <c r="E7" s="11" t="s">
        <v>85</v>
      </c>
      <c r="F7" s="11" t="s">
        <v>86</v>
      </c>
      <c r="G7" s="11" t="s">
        <v>48</v>
      </c>
      <c r="H7" s="11" t="s">
        <v>87</v>
      </c>
      <c r="I7" s="11"/>
      <c r="J7" s="11"/>
      <c r="K7" s="11"/>
      <c r="L7" s="11"/>
      <c r="M7" s="14"/>
      <c r="N7" s="14"/>
      <c r="O7" s="14"/>
      <c r="P7" s="14"/>
      <c r="Q7" s="14"/>
      <c r="R7" s="14"/>
      <c r="S7" s="14"/>
      <c r="T7" s="14"/>
      <c r="U7" s="14"/>
      <c r="V7" s="14"/>
      <c r="W7" s="14"/>
      <c r="X7" s="89">
        <v>0.8</v>
      </c>
    </row>
    <row r="8" spans="1:24" ht="18" customHeight="1" x14ac:dyDescent="0.2">
      <c r="A8" s="11">
        <v>3</v>
      </c>
      <c r="B8" s="11" t="s">
        <v>91</v>
      </c>
      <c r="C8" s="11" t="s">
        <v>92</v>
      </c>
      <c r="D8" s="11" t="s">
        <v>93</v>
      </c>
      <c r="E8" s="11" t="s">
        <v>94</v>
      </c>
      <c r="F8" s="11" t="s">
        <v>95</v>
      </c>
      <c r="G8" s="11" t="s">
        <v>96</v>
      </c>
      <c r="H8" s="11" t="s">
        <v>97</v>
      </c>
      <c r="I8" s="11"/>
      <c r="J8" s="11"/>
      <c r="K8" s="11"/>
      <c r="L8" s="11"/>
      <c r="M8" s="14"/>
      <c r="N8" s="14"/>
      <c r="O8" s="14"/>
      <c r="P8" s="14"/>
      <c r="Q8" s="14"/>
      <c r="R8" s="14"/>
      <c r="S8" s="14"/>
      <c r="T8" s="14"/>
      <c r="U8" s="14"/>
      <c r="V8" s="14"/>
      <c r="W8" s="14"/>
      <c r="X8" s="89">
        <v>0.8</v>
      </c>
    </row>
    <row r="9" spans="1:24" ht="18" customHeight="1" x14ac:dyDescent="0.2">
      <c r="A9" s="11">
        <v>4</v>
      </c>
      <c r="B9" s="11" t="s">
        <v>103</v>
      </c>
      <c r="C9" s="11" t="s">
        <v>104</v>
      </c>
      <c r="D9" s="11" t="s">
        <v>105</v>
      </c>
      <c r="E9" s="11" t="s">
        <v>106</v>
      </c>
      <c r="F9" s="11" t="s">
        <v>107</v>
      </c>
      <c r="G9" s="11" t="s">
        <v>108</v>
      </c>
      <c r="H9" s="11" t="s">
        <v>109</v>
      </c>
      <c r="I9" s="11"/>
      <c r="J9" s="11"/>
      <c r="K9" s="11"/>
      <c r="L9" s="11"/>
      <c r="M9" s="14"/>
      <c r="N9" s="14"/>
      <c r="O9" s="14"/>
      <c r="P9" s="14"/>
      <c r="Q9" s="14"/>
      <c r="R9" s="14"/>
      <c r="S9" s="14"/>
      <c r="T9" s="14"/>
      <c r="U9" s="14"/>
      <c r="V9" s="14"/>
      <c r="W9" s="14"/>
      <c r="X9" s="89">
        <v>0.8</v>
      </c>
    </row>
    <row r="10" spans="1:24" ht="18" customHeight="1" x14ac:dyDescent="0.2">
      <c r="A10" s="11">
        <v>5</v>
      </c>
      <c r="B10" s="11" t="s">
        <v>115</v>
      </c>
      <c r="C10" s="11" t="s">
        <v>116</v>
      </c>
      <c r="D10" s="11" t="s">
        <v>117</v>
      </c>
      <c r="E10" s="11" t="s">
        <v>118</v>
      </c>
      <c r="F10" s="11" t="s">
        <v>119</v>
      </c>
      <c r="G10" s="11" t="s">
        <v>120</v>
      </c>
      <c r="H10" s="11" t="s">
        <v>121</v>
      </c>
      <c r="I10" s="11"/>
      <c r="J10" s="11"/>
      <c r="K10" s="11"/>
      <c r="L10" s="11"/>
      <c r="M10" s="14"/>
      <c r="N10" s="14"/>
      <c r="O10" s="14"/>
      <c r="P10" s="14"/>
      <c r="Q10" s="14"/>
      <c r="R10" s="14"/>
      <c r="S10" s="14"/>
      <c r="T10" s="14"/>
      <c r="U10" s="14"/>
      <c r="V10" s="14"/>
      <c r="W10" s="14"/>
      <c r="X10" s="89">
        <v>0.8</v>
      </c>
    </row>
    <row r="11" spans="1:24" ht="18" customHeight="1" x14ac:dyDescent="0.2">
      <c r="A11" s="11">
        <v>6</v>
      </c>
      <c r="B11" s="11" t="s">
        <v>127</v>
      </c>
      <c r="C11" s="11" t="s">
        <v>128</v>
      </c>
      <c r="D11" s="11" t="s">
        <v>129</v>
      </c>
      <c r="E11" s="11" t="s">
        <v>130</v>
      </c>
      <c r="F11" s="11" t="s">
        <v>131</v>
      </c>
      <c r="G11" s="11"/>
      <c r="H11" s="11"/>
      <c r="I11" s="11" t="s">
        <v>134</v>
      </c>
      <c r="J11" s="11" t="s">
        <v>135</v>
      </c>
      <c r="K11" s="11"/>
      <c r="L11" s="11"/>
      <c r="M11" s="14"/>
      <c r="N11" s="14"/>
      <c r="O11" s="14"/>
      <c r="P11" s="14"/>
      <c r="Q11" s="14"/>
      <c r="R11" s="14"/>
      <c r="S11" s="14"/>
      <c r="T11" s="14"/>
      <c r="U11" s="14"/>
      <c r="V11" s="14"/>
      <c r="W11" s="14"/>
      <c r="X11" s="89">
        <v>0.8</v>
      </c>
    </row>
    <row r="12" spans="1:24" ht="18" customHeight="1" x14ac:dyDescent="0.2">
      <c r="A12" s="11">
        <v>7</v>
      </c>
      <c r="B12" s="11" t="s">
        <v>139</v>
      </c>
      <c r="C12" s="11" t="s">
        <v>140</v>
      </c>
      <c r="D12" s="11" t="s">
        <v>141</v>
      </c>
      <c r="E12" s="11" t="s">
        <v>142</v>
      </c>
      <c r="F12" s="11" t="s">
        <v>143</v>
      </c>
      <c r="G12" s="11"/>
      <c r="H12" s="11"/>
      <c r="I12" s="11" t="s">
        <v>146</v>
      </c>
      <c r="J12" s="11" t="s">
        <v>147</v>
      </c>
      <c r="K12" s="11"/>
      <c r="L12" s="11"/>
      <c r="M12" s="14"/>
      <c r="N12" s="14"/>
      <c r="O12" s="14"/>
      <c r="P12" s="14"/>
      <c r="Q12" s="14"/>
      <c r="R12" s="14"/>
      <c r="S12" s="14"/>
      <c r="T12" s="14"/>
      <c r="U12" s="14"/>
      <c r="V12" s="14"/>
      <c r="W12" s="14"/>
      <c r="X12" s="89">
        <v>0.8</v>
      </c>
    </row>
    <row r="13" spans="1:24" ht="18" customHeight="1" x14ac:dyDescent="0.2">
      <c r="A13" s="11">
        <v>8</v>
      </c>
      <c r="B13" s="11" t="s">
        <v>151</v>
      </c>
      <c r="C13" s="11" t="s">
        <v>152</v>
      </c>
      <c r="D13" s="11" t="s">
        <v>153</v>
      </c>
      <c r="E13" s="11" t="s">
        <v>154</v>
      </c>
      <c r="F13" s="11" t="s">
        <v>155</v>
      </c>
      <c r="G13" s="11"/>
      <c r="H13" s="11"/>
      <c r="I13" s="11" t="s">
        <v>158</v>
      </c>
      <c r="J13" s="11" t="s">
        <v>159</v>
      </c>
      <c r="K13" s="11"/>
      <c r="L13" s="11"/>
      <c r="M13" s="14"/>
      <c r="N13" s="14"/>
      <c r="O13" s="14"/>
      <c r="P13" s="14"/>
      <c r="Q13" s="14"/>
      <c r="R13" s="14"/>
      <c r="S13" s="14"/>
      <c r="T13" s="14"/>
      <c r="U13" s="14"/>
      <c r="V13" s="14"/>
      <c r="W13" s="14"/>
      <c r="X13" s="89">
        <v>0.8</v>
      </c>
    </row>
    <row r="14" spans="1:24" ht="18" customHeight="1" x14ac:dyDescent="0.2">
      <c r="A14" s="11">
        <v>9</v>
      </c>
      <c r="B14" s="11" t="s">
        <v>163</v>
      </c>
      <c r="C14" s="11" t="s">
        <v>164</v>
      </c>
      <c r="D14" s="11" t="s">
        <v>165</v>
      </c>
      <c r="E14" s="11" t="s">
        <v>166</v>
      </c>
      <c r="F14" s="11" t="s">
        <v>167</v>
      </c>
      <c r="G14" s="11"/>
      <c r="H14" s="11"/>
      <c r="I14" s="11"/>
      <c r="J14" s="11"/>
      <c r="K14" s="11" t="s">
        <v>172</v>
      </c>
      <c r="L14" s="11" t="s">
        <v>173</v>
      </c>
      <c r="M14" s="14" t="s">
        <v>174</v>
      </c>
      <c r="N14" s="14" t="s">
        <v>81</v>
      </c>
      <c r="O14" s="14"/>
      <c r="P14" s="14"/>
      <c r="Q14" s="14"/>
      <c r="R14" s="14"/>
      <c r="S14" s="14"/>
      <c r="T14" s="14"/>
      <c r="U14" s="14"/>
      <c r="V14" s="14"/>
      <c r="W14" s="14"/>
      <c r="X14" s="89">
        <v>0.8</v>
      </c>
    </row>
    <row r="15" spans="1:24" ht="18" customHeight="1" x14ac:dyDescent="0.2">
      <c r="A15" s="11">
        <v>10</v>
      </c>
      <c r="B15" s="11" t="s">
        <v>175</v>
      </c>
      <c r="C15" s="11" t="s">
        <v>176</v>
      </c>
      <c r="D15" s="11" t="s">
        <v>177</v>
      </c>
      <c r="E15" s="11" t="s">
        <v>178</v>
      </c>
      <c r="F15" s="11" t="s">
        <v>179</v>
      </c>
      <c r="G15" s="11"/>
      <c r="H15" s="11"/>
      <c r="I15" s="11"/>
      <c r="J15" s="11"/>
      <c r="K15" s="11" t="s">
        <v>184</v>
      </c>
      <c r="L15" s="11" t="s">
        <v>185</v>
      </c>
      <c r="M15" s="14" t="s">
        <v>186</v>
      </c>
      <c r="N15" s="14" t="s">
        <v>81</v>
      </c>
      <c r="O15" s="14"/>
      <c r="P15" s="14"/>
      <c r="Q15" s="14"/>
      <c r="R15" s="14"/>
      <c r="S15" s="14"/>
      <c r="T15" s="14"/>
      <c r="U15" s="14"/>
      <c r="V15" s="14"/>
      <c r="W15" s="14"/>
      <c r="X15" s="89">
        <v>0.8</v>
      </c>
    </row>
    <row r="16" spans="1:24" ht="18" customHeight="1" x14ac:dyDescent="0.2">
      <c r="A16" s="11">
        <v>11</v>
      </c>
      <c r="B16" s="11" t="s">
        <v>187</v>
      </c>
      <c r="C16" s="11" t="s">
        <v>188</v>
      </c>
      <c r="D16" s="11" t="s">
        <v>189</v>
      </c>
      <c r="E16" s="11" t="s">
        <v>190</v>
      </c>
      <c r="F16" s="11" t="s">
        <v>191</v>
      </c>
      <c r="G16" s="11"/>
      <c r="H16" s="11"/>
      <c r="I16" s="11"/>
      <c r="J16" s="11"/>
      <c r="K16" s="11" t="s">
        <v>196</v>
      </c>
      <c r="L16" s="11" t="s">
        <v>197</v>
      </c>
      <c r="M16" s="14" t="s">
        <v>198</v>
      </c>
      <c r="N16" s="14" t="s">
        <v>81</v>
      </c>
      <c r="O16" s="14"/>
      <c r="P16" s="14"/>
      <c r="Q16" s="14"/>
      <c r="R16" s="14"/>
      <c r="S16" s="14"/>
      <c r="T16" s="14"/>
      <c r="U16" s="14"/>
      <c r="V16" s="14"/>
      <c r="W16" s="14"/>
      <c r="X16" s="89">
        <v>0.8</v>
      </c>
    </row>
    <row r="17" spans="1:24" ht="18" customHeight="1" x14ac:dyDescent="0.2">
      <c r="A17" s="11">
        <v>12</v>
      </c>
      <c r="B17" s="11" t="s">
        <v>199</v>
      </c>
      <c r="C17" s="11" t="s">
        <v>200</v>
      </c>
      <c r="D17" s="11" t="s">
        <v>201</v>
      </c>
      <c r="E17" s="11" t="s">
        <v>202</v>
      </c>
      <c r="F17" s="11" t="s">
        <v>203</v>
      </c>
      <c r="G17" s="11"/>
      <c r="H17" s="11"/>
      <c r="I17" s="11"/>
      <c r="J17" s="11"/>
      <c r="K17" s="11"/>
      <c r="L17" s="11"/>
      <c r="M17" s="14" t="s">
        <v>210</v>
      </c>
      <c r="N17" s="14" t="s">
        <v>81</v>
      </c>
      <c r="O17" s="14"/>
      <c r="P17" s="14"/>
      <c r="Q17" s="14"/>
      <c r="R17" s="14"/>
      <c r="S17" s="14"/>
      <c r="T17" s="14"/>
      <c r="U17" s="14"/>
      <c r="V17" s="14"/>
      <c r="W17" s="14"/>
      <c r="X17" s="89">
        <v>0.8</v>
      </c>
    </row>
    <row r="18" spans="1:24" ht="18" customHeight="1" x14ac:dyDescent="0.2">
      <c r="A18" s="11">
        <v>13</v>
      </c>
      <c r="B18" s="11" t="s">
        <v>211</v>
      </c>
      <c r="C18" s="11" t="s">
        <v>212</v>
      </c>
      <c r="D18" s="11" t="s">
        <v>213</v>
      </c>
      <c r="E18" s="11" t="s">
        <v>214</v>
      </c>
      <c r="F18" s="11" t="s">
        <v>215</v>
      </c>
      <c r="G18" s="11"/>
      <c r="H18" s="11"/>
      <c r="I18" s="11"/>
      <c r="J18" s="11"/>
      <c r="K18" s="11"/>
      <c r="L18" s="11"/>
      <c r="M18" s="14" t="s">
        <v>222</v>
      </c>
      <c r="N18" s="14" t="s">
        <v>81</v>
      </c>
      <c r="O18" s="14"/>
      <c r="P18" s="14"/>
      <c r="Q18" s="14"/>
      <c r="R18" s="14"/>
      <c r="S18" s="14"/>
      <c r="T18" s="14"/>
      <c r="U18" s="14"/>
      <c r="V18" s="14"/>
      <c r="W18" s="14"/>
      <c r="X18" s="89">
        <v>0.8</v>
      </c>
    </row>
    <row r="19" spans="1:24" ht="18" customHeight="1" x14ac:dyDescent="0.2">
      <c r="A19" s="11">
        <v>14</v>
      </c>
      <c r="B19" s="11" t="s">
        <v>223</v>
      </c>
      <c r="C19" s="11" t="s">
        <v>224</v>
      </c>
      <c r="D19" s="11" t="s">
        <v>225</v>
      </c>
      <c r="E19" s="11" t="s">
        <v>226</v>
      </c>
      <c r="F19" s="11" t="s">
        <v>227</v>
      </c>
      <c r="G19" s="11"/>
      <c r="H19" s="11"/>
      <c r="I19" s="11"/>
      <c r="J19" s="11"/>
      <c r="K19" s="11"/>
      <c r="L19" s="11"/>
      <c r="M19" s="14" t="s">
        <v>234</v>
      </c>
      <c r="N19" s="14" t="s">
        <v>81</v>
      </c>
      <c r="O19" s="14"/>
      <c r="P19" s="14"/>
      <c r="Q19" s="14"/>
      <c r="R19" s="14"/>
      <c r="S19" s="14"/>
      <c r="T19" s="14"/>
      <c r="U19" s="14"/>
      <c r="V19" s="14"/>
      <c r="W19" s="14"/>
      <c r="X19" s="89">
        <v>0.8</v>
      </c>
    </row>
    <row r="20" spans="1:24" ht="18" customHeight="1" x14ac:dyDescent="0.2">
      <c r="A20" s="11">
        <v>15</v>
      </c>
      <c r="B20" s="11" t="s">
        <v>235</v>
      </c>
      <c r="C20" s="11" t="s">
        <v>236</v>
      </c>
      <c r="D20" s="11" t="s">
        <v>237</v>
      </c>
      <c r="E20" s="11" t="s">
        <v>238</v>
      </c>
      <c r="F20" s="11" t="s">
        <v>239</v>
      </c>
      <c r="G20" s="11"/>
      <c r="H20" s="11"/>
      <c r="I20" s="11"/>
      <c r="J20" s="11"/>
      <c r="K20" s="11"/>
      <c r="L20" s="11"/>
      <c r="M20" s="14"/>
      <c r="N20" s="14"/>
      <c r="O20" s="14" t="s">
        <v>55</v>
      </c>
      <c r="P20" s="14" t="s">
        <v>56</v>
      </c>
      <c r="Q20" s="14" t="s">
        <v>57</v>
      </c>
      <c r="R20" s="14"/>
      <c r="S20" s="14"/>
      <c r="T20" s="14"/>
      <c r="U20" s="14"/>
      <c r="V20" s="14"/>
      <c r="W20" s="14"/>
      <c r="X20" s="89">
        <v>0.8</v>
      </c>
    </row>
    <row r="21" spans="1:24" ht="18" customHeight="1" x14ac:dyDescent="0.2">
      <c r="A21" s="11">
        <v>16</v>
      </c>
      <c r="B21" s="11" t="s">
        <v>247</v>
      </c>
      <c r="C21" s="11" t="s">
        <v>248</v>
      </c>
      <c r="D21" s="11" t="s">
        <v>249</v>
      </c>
      <c r="E21" s="11" t="s">
        <v>250</v>
      </c>
      <c r="F21" s="11" t="s">
        <v>251</v>
      </c>
      <c r="G21" s="11"/>
      <c r="H21" s="11"/>
      <c r="I21" s="11"/>
      <c r="J21" s="11"/>
      <c r="K21" s="11"/>
      <c r="L21" s="11"/>
      <c r="M21" s="14"/>
      <c r="N21" s="14"/>
      <c r="O21" s="14" t="s">
        <v>55</v>
      </c>
      <c r="P21" s="14" t="s">
        <v>56</v>
      </c>
      <c r="Q21" s="14" t="s">
        <v>57</v>
      </c>
      <c r="R21" s="14"/>
      <c r="S21" s="14"/>
      <c r="T21" s="14"/>
      <c r="U21" s="14"/>
      <c r="V21" s="14"/>
      <c r="W21" s="14"/>
      <c r="X21" s="89">
        <v>0.8</v>
      </c>
    </row>
    <row r="22" spans="1:24" ht="18" customHeight="1" x14ac:dyDescent="0.2">
      <c r="A22" s="11">
        <v>17</v>
      </c>
      <c r="B22" s="11" t="s">
        <v>259</v>
      </c>
      <c r="C22" s="11" t="s">
        <v>260</v>
      </c>
      <c r="D22" s="11" t="s">
        <v>261</v>
      </c>
      <c r="E22" s="11" t="s">
        <v>262</v>
      </c>
      <c r="F22" s="11" t="s">
        <v>263</v>
      </c>
      <c r="G22" s="11"/>
      <c r="H22" s="11"/>
      <c r="I22" s="11"/>
      <c r="J22" s="11"/>
      <c r="K22" s="11"/>
      <c r="L22" s="11"/>
      <c r="M22" s="14"/>
      <c r="N22" s="14"/>
      <c r="O22" s="14"/>
      <c r="P22" s="14"/>
      <c r="Q22" s="14"/>
      <c r="R22" s="14" t="s">
        <v>58</v>
      </c>
      <c r="S22" s="14" t="s">
        <v>59</v>
      </c>
      <c r="T22" s="14" t="s">
        <v>63</v>
      </c>
      <c r="U22" s="14"/>
      <c r="V22" s="14"/>
      <c r="W22" s="14"/>
      <c r="X22" s="89">
        <v>0.8</v>
      </c>
    </row>
    <row r="23" spans="1:24" ht="18" customHeight="1" x14ac:dyDescent="0.2">
      <c r="A23" s="11">
        <v>18</v>
      </c>
      <c r="B23" s="11" t="s">
        <v>271</v>
      </c>
      <c r="C23" s="11" t="s">
        <v>272</v>
      </c>
      <c r="D23" s="11" t="s">
        <v>273</v>
      </c>
      <c r="E23" s="11" t="s">
        <v>274</v>
      </c>
      <c r="F23" s="11" t="s">
        <v>275</v>
      </c>
      <c r="G23" s="11"/>
      <c r="H23" s="11"/>
      <c r="I23" s="11"/>
      <c r="J23" s="11"/>
      <c r="K23" s="11"/>
      <c r="L23" s="11"/>
      <c r="M23" s="14"/>
      <c r="N23" s="14"/>
      <c r="O23" s="14"/>
      <c r="P23" s="14"/>
      <c r="Q23" s="14"/>
      <c r="R23" s="14" t="s">
        <v>58</v>
      </c>
      <c r="S23" s="14" t="s">
        <v>59</v>
      </c>
      <c r="T23" s="14" t="s">
        <v>63</v>
      </c>
      <c r="U23" s="14"/>
      <c r="V23" s="14"/>
      <c r="W23" s="14"/>
      <c r="X23" s="89">
        <v>0.8</v>
      </c>
    </row>
    <row r="24" spans="1:24" ht="18" customHeight="1" x14ac:dyDescent="0.2">
      <c r="A24" s="11">
        <v>19</v>
      </c>
      <c r="B24" s="11" t="s">
        <v>283</v>
      </c>
      <c r="C24" s="11" t="s">
        <v>284</v>
      </c>
      <c r="D24" s="11" t="s">
        <v>285</v>
      </c>
      <c r="E24" s="11" t="s">
        <v>286</v>
      </c>
      <c r="F24" s="11" t="s">
        <v>287</v>
      </c>
      <c r="G24" s="11"/>
      <c r="H24" s="11"/>
      <c r="I24" s="11"/>
      <c r="J24" s="11"/>
      <c r="K24" s="11"/>
      <c r="L24" s="11"/>
      <c r="M24" s="14"/>
      <c r="N24" s="14"/>
      <c r="O24" s="14"/>
      <c r="P24" s="14"/>
      <c r="Q24" s="14"/>
      <c r="R24" s="14" t="s">
        <v>58</v>
      </c>
      <c r="S24" s="14" t="s">
        <v>59</v>
      </c>
      <c r="T24" s="14" t="s">
        <v>63</v>
      </c>
      <c r="U24" s="14"/>
      <c r="V24" s="14"/>
      <c r="W24" s="14"/>
      <c r="X24" s="89">
        <v>0.8</v>
      </c>
    </row>
    <row r="25" spans="1:24" ht="18" customHeight="1" x14ac:dyDescent="0.2">
      <c r="A25" s="11">
        <v>20</v>
      </c>
      <c r="B25" s="11" t="s">
        <v>295</v>
      </c>
      <c r="C25" s="11" t="s">
        <v>296</v>
      </c>
      <c r="D25" s="11" t="s">
        <v>297</v>
      </c>
      <c r="E25" s="11" t="s">
        <v>298</v>
      </c>
      <c r="F25" s="11" t="s">
        <v>299</v>
      </c>
      <c r="G25" s="11"/>
      <c r="H25" s="11"/>
      <c r="I25" s="11"/>
      <c r="J25" s="11"/>
      <c r="K25" s="11"/>
      <c r="L25" s="11"/>
      <c r="M25" s="14"/>
      <c r="N25" s="14"/>
      <c r="O25" s="14"/>
      <c r="P25" s="14"/>
      <c r="Q25" s="14"/>
      <c r="R25" s="14" t="s">
        <v>58</v>
      </c>
      <c r="S25" s="14" t="s">
        <v>59</v>
      </c>
      <c r="T25" s="14" t="s">
        <v>63</v>
      </c>
      <c r="U25" s="14"/>
      <c r="V25" s="14"/>
      <c r="W25" s="14"/>
      <c r="X25" s="89">
        <v>0.8</v>
      </c>
    </row>
    <row r="26" spans="1:24" ht="18" customHeight="1" x14ac:dyDescent="0.2">
      <c r="A26" s="11">
        <v>21</v>
      </c>
      <c r="B26" s="11" t="s">
        <v>307</v>
      </c>
      <c r="C26" s="11" t="s">
        <v>308</v>
      </c>
      <c r="D26" s="11" t="s">
        <v>309</v>
      </c>
      <c r="E26" s="11" t="s">
        <v>310</v>
      </c>
      <c r="F26" s="11" t="s">
        <v>311</v>
      </c>
      <c r="G26" s="11"/>
      <c r="H26" s="11"/>
      <c r="I26" s="11"/>
      <c r="J26" s="11"/>
      <c r="K26" s="11"/>
      <c r="L26" s="11"/>
      <c r="M26" s="14"/>
      <c r="N26" s="14"/>
      <c r="O26" s="14"/>
      <c r="P26" s="14"/>
      <c r="Q26" s="14"/>
      <c r="R26" s="14"/>
      <c r="S26" s="14"/>
      <c r="T26" s="14"/>
      <c r="U26" s="14" t="s">
        <v>64</v>
      </c>
      <c r="V26" s="14" t="s">
        <v>65</v>
      </c>
      <c r="W26" s="14" t="s">
        <v>66</v>
      </c>
      <c r="X26" s="89">
        <v>0.8</v>
      </c>
    </row>
    <row r="27" spans="1:24" ht="18" customHeight="1" x14ac:dyDescent="0.2">
      <c r="A27" s="11">
        <v>22</v>
      </c>
      <c r="B27" s="11" t="s">
        <v>319</v>
      </c>
      <c r="C27" s="11" t="s">
        <v>320</v>
      </c>
      <c r="D27" s="11" t="s">
        <v>321</v>
      </c>
      <c r="E27" s="11" t="s">
        <v>322</v>
      </c>
      <c r="F27" s="11" t="s">
        <v>323</v>
      </c>
      <c r="G27" s="11"/>
      <c r="H27" s="11"/>
      <c r="I27" s="11"/>
      <c r="J27" s="11"/>
      <c r="K27" s="11"/>
      <c r="L27" s="11"/>
      <c r="M27" s="14"/>
      <c r="N27" s="14"/>
      <c r="O27" s="14"/>
      <c r="P27" s="14"/>
      <c r="Q27" s="14"/>
      <c r="R27" s="14"/>
      <c r="S27" s="14"/>
      <c r="T27" s="14"/>
      <c r="U27" s="14" t="s">
        <v>64</v>
      </c>
      <c r="V27" s="14" t="s">
        <v>65</v>
      </c>
      <c r="W27" s="14" t="s">
        <v>66</v>
      </c>
      <c r="X27" s="89">
        <v>0.8</v>
      </c>
    </row>
    <row r="28" spans="1:24" ht="18" customHeight="1" x14ac:dyDescent="0.2">
      <c r="A28" s="11">
        <v>23</v>
      </c>
      <c r="B28" s="11" t="s">
        <v>331</v>
      </c>
      <c r="C28" s="11" t="s">
        <v>332</v>
      </c>
      <c r="D28" s="11" t="s">
        <v>333</v>
      </c>
      <c r="E28" s="11" t="s">
        <v>334</v>
      </c>
      <c r="F28" s="11" t="s">
        <v>335</v>
      </c>
      <c r="G28" s="11"/>
      <c r="H28" s="11"/>
      <c r="I28" s="11"/>
      <c r="J28" s="11"/>
      <c r="K28" s="11"/>
      <c r="L28" s="11"/>
      <c r="M28" s="14"/>
      <c r="N28" s="14"/>
      <c r="O28" s="14"/>
      <c r="P28" s="14"/>
      <c r="Q28" s="14"/>
      <c r="R28" s="14"/>
      <c r="S28" s="14"/>
      <c r="T28" s="14"/>
      <c r="U28" s="14" t="s">
        <v>64</v>
      </c>
      <c r="V28" s="14" t="s">
        <v>65</v>
      </c>
      <c r="W28" s="14" t="s">
        <v>66</v>
      </c>
      <c r="X28" s="89">
        <v>0.8</v>
      </c>
    </row>
    <row r="29" spans="1:24" ht="18" customHeight="1" x14ac:dyDescent="0.2">
      <c r="A29" s="11">
        <v>24</v>
      </c>
      <c r="B29" s="11" t="s">
        <v>343</v>
      </c>
      <c r="C29" s="11" t="s">
        <v>344</v>
      </c>
      <c r="D29" s="11" t="s">
        <v>345</v>
      </c>
      <c r="E29" s="11" t="s">
        <v>346</v>
      </c>
      <c r="F29" s="11" t="s">
        <v>347</v>
      </c>
      <c r="G29" s="11"/>
      <c r="H29" s="11"/>
      <c r="I29" s="11"/>
      <c r="J29" s="11"/>
      <c r="K29" s="11"/>
      <c r="L29" s="11"/>
      <c r="M29" s="14"/>
      <c r="N29" s="14"/>
      <c r="O29" s="14"/>
      <c r="P29" s="14"/>
      <c r="Q29" s="14"/>
      <c r="R29" s="14"/>
      <c r="S29" s="14"/>
      <c r="T29" s="14"/>
      <c r="U29" s="14" t="s">
        <v>64</v>
      </c>
      <c r="V29" s="14" t="s">
        <v>65</v>
      </c>
      <c r="W29" s="14" t="s">
        <v>66</v>
      </c>
      <c r="X29" s="89">
        <v>0.8</v>
      </c>
    </row>
    <row r="30" spans="1:24" ht="18" customHeight="1" x14ac:dyDescent="0.2">
      <c r="A30" s="11">
        <v>25</v>
      </c>
      <c r="B30" s="11" t="s">
        <v>355</v>
      </c>
      <c r="C30" s="11" t="s">
        <v>356</v>
      </c>
      <c r="D30" s="11" t="s">
        <v>357</v>
      </c>
      <c r="E30" s="11" t="s">
        <v>358</v>
      </c>
      <c r="F30" s="11" t="s">
        <v>359</v>
      </c>
      <c r="G30" s="11"/>
      <c r="H30" s="11"/>
      <c r="I30" s="11"/>
      <c r="J30" s="11"/>
      <c r="K30" s="11"/>
      <c r="L30" s="11"/>
      <c r="M30" s="14"/>
      <c r="N30" s="14"/>
      <c r="O30" s="14"/>
      <c r="P30" s="14"/>
      <c r="Q30" s="14"/>
      <c r="R30" s="14"/>
      <c r="S30" s="14"/>
      <c r="T30" s="14"/>
      <c r="U30" s="14"/>
      <c r="V30" s="14"/>
      <c r="W30" s="14"/>
      <c r="X30" s="89">
        <v>0.8</v>
      </c>
    </row>
    <row r="31" spans="1:24" ht="18" customHeight="1" x14ac:dyDescent="0.2">
      <c r="A31" s="11">
        <v>26</v>
      </c>
      <c r="B31" s="11" t="s">
        <v>367</v>
      </c>
      <c r="C31" s="11" t="s">
        <v>368</v>
      </c>
      <c r="D31" s="11" t="s">
        <v>369</v>
      </c>
      <c r="E31" s="11" t="s">
        <v>370</v>
      </c>
      <c r="F31" s="11" t="s">
        <v>371</v>
      </c>
      <c r="G31" s="11"/>
      <c r="H31" s="11"/>
      <c r="I31" s="11"/>
      <c r="J31" s="11"/>
      <c r="K31" s="11"/>
      <c r="L31" s="11"/>
      <c r="M31" s="14"/>
      <c r="N31" s="14"/>
      <c r="O31" s="14"/>
      <c r="P31" s="14"/>
      <c r="Q31" s="14"/>
      <c r="R31" s="14"/>
      <c r="S31" s="14"/>
      <c r="T31" s="14"/>
      <c r="U31" s="14"/>
      <c r="V31" s="14"/>
      <c r="W31" s="14"/>
      <c r="X31" s="89">
        <v>0.8</v>
      </c>
    </row>
    <row r="32" spans="1:24" ht="18" customHeight="1" x14ac:dyDescent="0.2">
      <c r="A32" s="11">
        <v>27</v>
      </c>
      <c r="B32" s="11" t="s">
        <v>379</v>
      </c>
      <c r="C32" s="11" t="s">
        <v>380</v>
      </c>
      <c r="D32" s="11" t="s">
        <v>381</v>
      </c>
      <c r="E32" s="11" t="s">
        <v>382</v>
      </c>
      <c r="F32" s="11" t="s">
        <v>383</v>
      </c>
      <c r="G32" s="11"/>
      <c r="H32" s="11"/>
      <c r="I32" s="11"/>
      <c r="J32" s="11"/>
      <c r="K32" s="11"/>
      <c r="L32" s="11"/>
      <c r="M32" s="14"/>
      <c r="N32" s="14"/>
      <c r="O32" s="14"/>
      <c r="P32" s="14"/>
      <c r="Q32" s="14"/>
      <c r="R32" s="14"/>
      <c r="S32" s="14"/>
      <c r="T32" s="14"/>
      <c r="U32" s="14"/>
      <c r="V32" s="14"/>
      <c r="W32" s="14"/>
      <c r="X32" s="89">
        <v>0.8</v>
      </c>
    </row>
    <row r="33" spans="1:24" ht="18" customHeight="1" x14ac:dyDescent="0.2">
      <c r="A33" s="11">
        <v>28</v>
      </c>
      <c r="B33" s="11" t="s">
        <v>391</v>
      </c>
      <c r="C33" s="11" t="s">
        <v>392</v>
      </c>
      <c r="D33" s="11" t="s">
        <v>393</v>
      </c>
      <c r="E33" s="11" t="s">
        <v>394</v>
      </c>
      <c r="F33" s="11" t="s">
        <v>395</v>
      </c>
      <c r="G33" s="11"/>
      <c r="H33" s="11"/>
      <c r="I33" s="11"/>
      <c r="J33" s="11"/>
      <c r="K33" s="11"/>
      <c r="L33" s="11"/>
      <c r="M33" s="14"/>
      <c r="N33" s="14"/>
      <c r="O33" s="14"/>
      <c r="P33" s="14"/>
      <c r="Q33" s="14"/>
      <c r="R33" s="14"/>
      <c r="S33" s="14"/>
      <c r="T33" s="14"/>
      <c r="U33" s="14"/>
      <c r="V33" s="14"/>
      <c r="W33" s="14"/>
      <c r="X33" s="89">
        <v>0.8</v>
      </c>
    </row>
    <row r="34" spans="1:24" ht="18" customHeight="1" x14ac:dyDescent="0.2">
      <c r="A34" s="11">
        <v>29</v>
      </c>
      <c r="B34" s="11" t="s">
        <v>403</v>
      </c>
      <c r="C34" s="11" t="s">
        <v>404</v>
      </c>
      <c r="D34" s="11" t="s">
        <v>405</v>
      </c>
      <c r="E34" s="11" t="s">
        <v>406</v>
      </c>
      <c r="F34" s="11" t="s">
        <v>407</v>
      </c>
      <c r="G34" s="11"/>
      <c r="H34" s="11"/>
      <c r="I34" s="11"/>
      <c r="J34" s="11"/>
      <c r="K34" s="11"/>
      <c r="L34" s="11"/>
      <c r="M34" s="14"/>
      <c r="N34" s="14"/>
      <c r="O34" s="14"/>
      <c r="P34" s="14"/>
      <c r="Q34" s="14"/>
      <c r="R34" s="14"/>
      <c r="S34" s="14"/>
      <c r="T34" s="14"/>
      <c r="U34" s="14"/>
      <c r="V34" s="14"/>
      <c r="W34" s="14"/>
      <c r="X34" s="89">
        <v>0.8</v>
      </c>
    </row>
    <row r="35" spans="1:24" ht="18" customHeight="1" x14ac:dyDescent="0.2">
      <c r="A35" s="11">
        <v>30</v>
      </c>
      <c r="B35" s="11" t="s">
        <v>415</v>
      </c>
      <c r="C35" s="11" t="s">
        <v>416</v>
      </c>
      <c r="D35" s="11" t="s">
        <v>417</v>
      </c>
      <c r="E35" s="11" t="s">
        <v>418</v>
      </c>
      <c r="F35" s="11" t="s">
        <v>419</v>
      </c>
      <c r="G35" s="11"/>
      <c r="H35" s="11"/>
      <c r="I35" s="11"/>
      <c r="J35" s="11"/>
      <c r="K35" s="11"/>
      <c r="L35" s="11"/>
      <c r="M35" s="14"/>
      <c r="N35" s="14"/>
      <c r="O35" s="14"/>
      <c r="P35" s="14"/>
      <c r="Q35" s="14"/>
      <c r="R35" s="14"/>
      <c r="S35" s="14"/>
      <c r="T35" s="14"/>
      <c r="U35" s="14"/>
      <c r="V35" s="14"/>
      <c r="W35" s="14"/>
      <c r="X35" s="89">
        <v>0.8</v>
      </c>
    </row>
    <row r="36" spans="1:24" ht="18" customHeight="1" x14ac:dyDescent="0.2">
      <c r="A36" s="11">
        <v>31</v>
      </c>
      <c r="B36" s="11" t="s">
        <v>427</v>
      </c>
      <c r="C36" s="11" t="s">
        <v>428</v>
      </c>
      <c r="D36" s="11" t="s">
        <v>429</v>
      </c>
      <c r="E36" s="11" t="s">
        <v>430</v>
      </c>
      <c r="F36" s="11" t="s">
        <v>431</v>
      </c>
      <c r="G36" s="11"/>
      <c r="H36" s="11"/>
      <c r="I36" s="11"/>
      <c r="J36" s="11"/>
      <c r="K36" s="11"/>
      <c r="L36" s="11"/>
      <c r="M36" s="14"/>
      <c r="N36" s="14"/>
      <c r="O36" s="14"/>
      <c r="P36" s="14"/>
      <c r="Q36" s="14"/>
      <c r="R36" s="14"/>
      <c r="S36" s="14"/>
      <c r="T36" s="14"/>
      <c r="U36" s="14"/>
      <c r="V36" s="14"/>
      <c r="W36" s="14"/>
      <c r="X36" s="89">
        <v>0.8</v>
      </c>
    </row>
    <row r="37" spans="1:24" ht="18" customHeight="1" x14ac:dyDescent="0.2">
      <c r="A37" s="11">
        <v>32</v>
      </c>
      <c r="B37" s="11" t="s">
        <v>439</v>
      </c>
      <c r="C37" s="11" t="s">
        <v>440</v>
      </c>
      <c r="D37" s="11" t="s">
        <v>441</v>
      </c>
      <c r="E37" s="11" t="s">
        <v>442</v>
      </c>
      <c r="F37" s="11" t="s">
        <v>443</v>
      </c>
      <c r="G37" s="11"/>
      <c r="H37" s="11"/>
      <c r="I37" s="11"/>
      <c r="J37" s="11"/>
      <c r="K37" s="11"/>
      <c r="L37" s="11"/>
      <c r="M37" s="14"/>
      <c r="N37" s="14"/>
      <c r="O37" s="14"/>
      <c r="P37" s="14"/>
      <c r="Q37" s="14"/>
      <c r="R37" s="14"/>
      <c r="S37" s="14"/>
      <c r="T37" s="14"/>
      <c r="U37" s="14"/>
      <c r="V37" s="14"/>
      <c r="W37" s="14"/>
      <c r="X37" s="89">
        <v>0.8</v>
      </c>
    </row>
    <row r="38" spans="1:24" ht="18" customHeight="1" x14ac:dyDescent="0.2">
      <c r="A38" s="11">
        <v>33</v>
      </c>
      <c r="B38" s="11" t="s">
        <v>451</v>
      </c>
      <c r="C38" s="11" t="s">
        <v>452</v>
      </c>
      <c r="D38" s="11" t="s">
        <v>453</v>
      </c>
      <c r="E38" s="11" t="s">
        <v>454</v>
      </c>
      <c r="F38" s="11" t="s">
        <v>455</v>
      </c>
      <c r="G38" s="11"/>
      <c r="H38" s="11"/>
      <c r="I38" s="11"/>
      <c r="J38" s="11"/>
      <c r="K38" s="11"/>
      <c r="L38" s="11"/>
      <c r="M38" s="14"/>
      <c r="N38" s="14"/>
      <c r="O38" s="14"/>
      <c r="P38" s="14"/>
      <c r="Q38" s="14"/>
      <c r="R38" s="14"/>
      <c r="S38" s="14"/>
      <c r="T38" s="14"/>
      <c r="U38" s="14"/>
      <c r="V38" s="14"/>
      <c r="W38" s="14"/>
      <c r="X38" s="89">
        <v>0.8</v>
      </c>
    </row>
    <row r="39" spans="1:24" ht="18" customHeight="1" x14ac:dyDescent="0.2">
      <c r="A39" s="11">
        <v>34</v>
      </c>
      <c r="B39" s="11" t="s">
        <v>463</v>
      </c>
      <c r="C39" s="11" t="s">
        <v>464</v>
      </c>
      <c r="D39" s="11" t="s">
        <v>465</v>
      </c>
      <c r="E39" s="11" t="s">
        <v>466</v>
      </c>
      <c r="F39" s="11" t="s">
        <v>467</v>
      </c>
      <c r="G39" s="11"/>
      <c r="H39" s="11"/>
      <c r="I39" s="11"/>
      <c r="J39" s="11"/>
      <c r="K39" s="11"/>
      <c r="L39" s="11"/>
      <c r="M39" s="14"/>
      <c r="N39" s="14"/>
      <c r="O39" s="14"/>
      <c r="P39" s="14"/>
      <c r="Q39" s="14"/>
      <c r="R39" s="14"/>
      <c r="S39" s="14"/>
      <c r="T39" s="14"/>
      <c r="U39" s="14"/>
      <c r="V39" s="14"/>
      <c r="W39" s="14"/>
      <c r="X39" s="89">
        <v>0.8</v>
      </c>
    </row>
    <row r="40" spans="1:24" ht="18" customHeight="1" x14ac:dyDescent="0.2">
      <c r="A40" s="11">
        <v>35</v>
      </c>
      <c r="B40" s="11" t="s">
        <v>475</v>
      </c>
      <c r="C40" s="11" t="s">
        <v>476</v>
      </c>
      <c r="D40" s="11" t="s">
        <v>477</v>
      </c>
      <c r="E40" s="11" t="s">
        <v>478</v>
      </c>
      <c r="F40" s="11" t="s">
        <v>479</v>
      </c>
      <c r="G40" s="11"/>
      <c r="H40" s="11"/>
      <c r="I40" s="11"/>
      <c r="J40" s="11"/>
      <c r="K40" s="11"/>
      <c r="L40" s="11"/>
      <c r="M40" s="14"/>
      <c r="N40" s="14"/>
      <c r="O40" s="14"/>
      <c r="P40" s="14"/>
      <c r="Q40" s="14"/>
      <c r="R40" s="14"/>
      <c r="S40" s="14"/>
      <c r="T40" s="14"/>
      <c r="U40" s="14"/>
      <c r="V40" s="14"/>
      <c r="W40" s="14"/>
      <c r="X40" s="89">
        <v>0.8</v>
      </c>
    </row>
    <row r="41" spans="1:24" ht="18" customHeight="1" x14ac:dyDescent="0.2">
      <c r="A41" s="11">
        <v>36</v>
      </c>
      <c r="B41" s="11" t="s">
        <v>487</v>
      </c>
      <c r="C41" s="11" t="s">
        <v>488</v>
      </c>
      <c r="D41" s="11" t="s">
        <v>489</v>
      </c>
      <c r="E41" s="11" t="s">
        <v>490</v>
      </c>
      <c r="F41" s="11" t="s">
        <v>491</v>
      </c>
      <c r="G41" s="11"/>
      <c r="H41" s="11"/>
      <c r="I41" s="11"/>
      <c r="J41" s="11"/>
      <c r="K41" s="11"/>
      <c r="L41" s="11"/>
      <c r="M41" s="14"/>
      <c r="N41" s="14"/>
      <c r="O41" s="14"/>
      <c r="P41" s="14"/>
      <c r="Q41" s="14"/>
      <c r="R41" s="14"/>
      <c r="S41" s="14"/>
      <c r="T41" s="14"/>
      <c r="U41" s="14"/>
      <c r="V41" s="14"/>
      <c r="W41" s="14"/>
      <c r="X41" s="89">
        <v>0.8</v>
      </c>
    </row>
    <row r="42" spans="1:24" ht="18" customHeight="1" x14ac:dyDescent="0.2">
      <c r="A42" s="11">
        <v>37</v>
      </c>
      <c r="B42" s="11" t="s">
        <v>499</v>
      </c>
      <c r="C42" s="11" t="s">
        <v>500</v>
      </c>
      <c r="D42" s="11" t="s">
        <v>501</v>
      </c>
      <c r="E42" s="11" t="s">
        <v>502</v>
      </c>
      <c r="F42" s="11" t="s">
        <v>503</v>
      </c>
      <c r="G42" s="11"/>
      <c r="H42" s="11"/>
      <c r="I42" s="11"/>
      <c r="J42" s="11"/>
      <c r="K42" s="11"/>
      <c r="L42" s="11"/>
      <c r="M42" s="14"/>
      <c r="N42" s="14"/>
      <c r="O42" s="14"/>
      <c r="P42" s="14"/>
      <c r="Q42" s="14"/>
      <c r="R42" s="14"/>
      <c r="S42" s="14"/>
      <c r="T42" s="14"/>
      <c r="U42" s="14"/>
      <c r="V42" s="14"/>
      <c r="W42" s="14"/>
      <c r="X42" s="89">
        <v>0.8</v>
      </c>
    </row>
    <row r="43" spans="1:24" ht="18" customHeight="1" x14ac:dyDescent="0.2">
      <c r="A43" s="11">
        <v>38</v>
      </c>
      <c r="B43" s="11" t="s">
        <v>511</v>
      </c>
      <c r="C43" s="11" t="s">
        <v>512</v>
      </c>
      <c r="D43" s="11" t="s">
        <v>513</v>
      </c>
      <c r="E43" s="11" t="s">
        <v>514</v>
      </c>
      <c r="F43" s="11" t="s">
        <v>515</v>
      </c>
      <c r="G43" s="11"/>
      <c r="H43" s="11"/>
      <c r="I43" s="11"/>
      <c r="J43" s="11"/>
      <c r="K43" s="11"/>
      <c r="L43" s="11"/>
      <c r="M43" s="14"/>
      <c r="N43" s="14"/>
      <c r="O43" s="14"/>
      <c r="P43" s="14"/>
      <c r="Q43" s="14"/>
      <c r="R43" s="14"/>
      <c r="S43" s="14"/>
      <c r="T43" s="14"/>
      <c r="U43" s="14"/>
      <c r="V43" s="14"/>
      <c r="W43" s="14"/>
      <c r="X43" s="89">
        <v>0.8</v>
      </c>
    </row>
  </sheetData>
  <mergeCells count="11">
    <mergeCell ref="G4:N4"/>
    <mergeCell ref="O4:Q4"/>
    <mergeCell ref="R4:T4"/>
    <mergeCell ref="U4:W4"/>
    <mergeCell ref="X4:X5"/>
    <mergeCell ref="A1:B1"/>
    <mergeCell ref="C1:F1"/>
    <mergeCell ref="A2:B2"/>
    <mergeCell ref="C2:F2"/>
    <mergeCell ref="A4:A5"/>
    <mergeCell ref="B4:F4"/>
  </mergeCells>
  <pageMargins left="0.25" right="0.25"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F27B9-92E9-F943-89F2-815581256DA5}">
  <dimension ref="A1:CS43"/>
  <sheetViews>
    <sheetView zoomScaleNormal="100" workbookViewId="0">
      <pane xSplit="1" ySplit="5" topLeftCell="B6" activePane="bottomRight" state="frozen"/>
      <selection pane="topRight" activeCell="B1" sqref="B1"/>
      <selection pane="bottomLeft" activeCell="A6" sqref="A6"/>
      <selection pane="bottomRight" activeCell="Q45" sqref="Q45"/>
    </sheetView>
  </sheetViews>
  <sheetFormatPr baseColWidth="10" defaultRowHeight="18" customHeight="1" x14ac:dyDescent="0.2"/>
  <cols>
    <col min="1" max="12" width="13.33203125" style="2" customWidth="1"/>
    <col min="13" max="23" width="13.33203125" style="3" customWidth="1"/>
    <col min="24" max="16384" width="10.83203125" style="3"/>
  </cols>
  <sheetData>
    <row r="1" spans="1:97" ht="18" customHeight="1" x14ac:dyDescent="0.2">
      <c r="A1" s="56" t="s">
        <v>523</v>
      </c>
      <c r="B1" s="56"/>
      <c r="C1" s="37" t="s">
        <v>525</v>
      </c>
      <c r="D1" s="37"/>
      <c r="E1" s="37"/>
      <c r="F1" s="37"/>
    </row>
    <row r="2" spans="1:97" ht="18" customHeight="1" x14ac:dyDescent="0.2">
      <c r="A2" s="56" t="s">
        <v>524</v>
      </c>
      <c r="B2" s="56"/>
      <c r="C2" s="37" t="s">
        <v>526</v>
      </c>
      <c r="D2" s="37"/>
      <c r="E2" s="37"/>
      <c r="F2" s="37"/>
    </row>
    <row r="3" spans="1:97" ht="18" customHeight="1" x14ac:dyDescent="0.2">
      <c r="Y3" s="48">
        <v>-36</v>
      </c>
      <c r="Z3" s="48">
        <v>-35</v>
      </c>
      <c r="AA3" s="48">
        <v>-34</v>
      </c>
      <c r="AB3" s="48">
        <v>-33</v>
      </c>
      <c r="AC3" s="48">
        <v>-32</v>
      </c>
      <c r="AD3" s="48">
        <v>-31</v>
      </c>
      <c r="AE3" s="48">
        <v>-30</v>
      </c>
      <c r="AF3" s="48">
        <v>-29</v>
      </c>
      <c r="AG3" s="48">
        <v>-28</v>
      </c>
      <c r="AH3" s="48">
        <v>-27</v>
      </c>
      <c r="AI3" s="48">
        <v>-26</v>
      </c>
      <c r="AJ3" s="48">
        <v>-25</v>
      </c>
      <c r="AK3" s="48">
        <v>-24</v>
      </c>
      <c r="AL3" s="48">
        <v>-23</v>
      </c>
      <c r="AM3" s="48">
        <v>-22</v>
      </c>
      <c r="AN3" s="48">
        <v>-21</v>
      </c>
      <c r="AO3" s="48">
        <v>-20</v>
      </c>
      <c r="AP3" s="48">
        <v>-19</v>
      </c>
      <c r="AQ3" s="48">
        <v>-18</v>
      </c>
      <c r="AR3" s="48">
        <v>-17</v>
      </c>
      <c r="AS3" s="48">
        <v>-16</v>
      </c>
      <c r="AT3" s="48">
        <v>-15</v>
      </c>
      <c r="AU3" s="48">
        <v>-14</v>
      </c>
      <c r="AV3" s="48">
        <v>-13</v>
      </c>
      <c r="AW3" s="48">
        <v>-12</v>
      </c>
      <c r="AX3" s="48">
        <v>-11</v>
      </c>
      <c r="AY3" s="48">
        <v>-10</v>
      </c>
      <c r="AZ3" s="48">
        <v>-9</v>
      </c>
      <c r="BA3" s="48">
        <v>-8</v>
      </c>
      <c r="BB3" s="48">
        <v>-7</v>
      </c>
      <c r="BC3" s="48">
        <v>-6</v>
      </c>
      <c r="BD3" s="48">
        <v>-5</v>
      </c>
      <c r="BE3" s="48">
        <v>-4</v>
      </c>
      <c r="BF3" s="48">
        <v>-3</v>
      </c>
      <c r="BG3" s="48">
        <v>-2</v>
      </c>
      <c r="BH3" s="48">
        <v>-1</v>
      </c>
      <c r="BI3" s="48">
        <v>0</v>
      </c>
      <c r="BJ3" s="48">
        <v>1</v>
      </c>
      <c r="BK3" s="48">
        <v>2</v>
      </c>
      <c r="BL3" s="48">
        <v>3</v>
      </c>
      <c r="BM3" s="48">
        <v>4</v>
      </c>
      <c r="BN3" s="48">
        <v>5</v>
      </c>
      <c r="BO3" s="48">
        <v>6</v>
      </c>
      <c r="BP3" s="48">
        <v>7</v>
      </c>
      <c r="BQ3" s="48">
        <v>8</v>
      </c>
      <c r="BR3" s="48">
        <v>9</v>
      </c>
      <c r="BS3" s="48">
        <v>10</v>
      </c>
      <c r="BT3" s="48">
        <v>11</v>
      </c>
      <c r="BU3" s="48">
        <v>12</v>
      </c>
      <c r="BV3" s="48">
        <v>13</v>
      </c>
      <c r="BW3" s="48">
        <v>14</v>
      </c>
      <c r="BX3" s="48">
        <v>15</v>
      </c>
      <c r="BY3" s="48">
        <v>16</v>
      </c>
      <c r="BZ3" s="48">
        <v>17</v>
      </c>
      <c r="CA3" s="48">
        <v>18</v>
      </c>
      <c r="CB3" s="48">
        <v>19</v>
      </c>
      <c r="CC3" s="48">
        <v>20</v>
      </c>
      <c r="CD3" s="48">
        <v>21</v>
      </c>
      <c r="CE3" s="48">
        <v>22</v>
      </c>
      <c r="CF3" s="48">
        <v>23</v>
      </c>
      <c r="CG3" s="48">
        <v>24</v>
      </c>
      <c r="CH3" s="48">
        <v>25</v>
      </c>
      <c r="CI3" s="48">
        <v>26</v>
      </c>
      <c r="CJ3" s="48">
        <v>27</v>
      </c>
      <c r="CK3" s="48">
        <v>28</v>
      </c>
      <c r="CL3" s="48">
        <v>29</v>
      </c>
      <c r="CM3" s="48">
        <v>30</v>
      </c>
      <c r="CN3" s="48">
        <v>31</v>
      </c>
      <c r="CO3" s="48">
        <v>32</v>
      </c>
      <c r="CP3" s="48">
        <v>33</v>
      </c>
      <c r="CQ3" s="48">
        <v>34</v>
      </c>
      <c r="CR3" s="48">
        <v>35</v>
      </c>
      <c r="CS3" s="48">
        <v>36</v>
      </c>
    </row>
    <row r="4" spans="1:97" ht="18" customHeight="1" x14ac:dyDescent="0.2">
      <c r="A4" s="50" t="s">
        <v>42</v>
      </c>
      <c r="B4" s="50" t="s">
        <v>61</v>
      </c>
      <c r="C4" s="50"/>
      <c r="D4" s="50"/>
      <c r="E4" s="50"/>
      <c r="F4" s="50"/>
      <c r="G4" s="50" t="s">
        <v>60</v>
      </c>
      <c r="H4" s="50"/>
      <c r="I4" s="50"/>
      <c r="J4" s="50"/>
      <c r="K4" s="50"/>
      <c r="L4" s="50"/>
      <c r="M4" s="50"/>
      <c r="N4" s="50"/>
      <c r="O4" s="51" t="s">
        <v>62</v>
      </c>
      <c r="P4" s="52"/>
      <c r="Q4" s="53"/>
      <c r="R4" s="51" t="s">
        <v>67</v>
      </c>
      <c r="S4" s="52"/>
      <c r="T4" s="53"/>
      <c r="U4" s="51" t="s">
        <v>68</v>
      </c>
      <c r="V4" s="52"/>
      <c r="W4" s="53"/>
      <c r="X4" s="50" t="s">
        <v>70</v>
      </c>
      <c r="Y4" s="49" t="str">
        <f t="shared" ref="Y4:BG4" si="0">"MTO" &amp;Y3</f>
        <v>MTO-36</v>
      </c>
      <c r="Z4" s="49" t="str">
        <f t="shared" si="0"/>
        <v>MTO-35</v>
      </c>
      <c r="AA4" s="49" t="str">
        <f t="shared" si="0"/>
        <v>MTO-34</v>
      </c>
      <c r="AB4" s="49" t="str">
        <f t="shared" si="0"/>
        <v>MTO-33</v>
      </c>
      <c r="AC4" s="49" t="str">
        <f t="shared" si="0"/>
        <v>MTO-32</v>
      </c>
      <c r="AD4" s="49" t="str">
        <f t="shared" si="0"/>
        <v>MTO-31</v>
      </c>
      <c r="AE4" s="49" t="str">
        <f t="shared" si="0"/>
        <v>MTO-30</v>
      </c>
      <c r="AF4" s="49" t="str">
        <f t="shared" si="0"/>
        <v>MTO-29</v>
      </c>
      <c r="AG4" s="49" t="str">
        <f t="shared" si="0"/>
        <v>MTO-28</v>
      </c>
      <c r="AH4" s="49" t="str">
        <f t="shared" si="0"/>
        <v>MTO-27</v>
      </c>
      <c r="AI4" s="49" t="str">
        <f t="shared" si="0"/>
        <v>MTO-26</v>
      </c>
      <c r="AJ4" s="49" t="str">
        <f t="shared" si="0"/>
        <v>MTO-25</v>
      </c>
      <c r="AK4" s="49" t="str">
        <f t="shared" si="0"/>
        <v>MTO-24</v>
      </c>
      <c r="AL4" s="49" t="str">
        <f t="shared" si="0"/>
        <v>MTO-23</v>
      </c>
      <c r="AM4" s="49" t="str">
        <f t="shared" si="0"/>
        <v>MTO-22</v>
      </c>
      <c r="AN4" s="49" t="str">
        <f t="shared" si="0"/>
        <v>MTO-21</v>
      </c>
      <c r="AO4" s="49" t="str">
        <f t="shared" si="0"/>
        <v>MTO-20</v>
      </c>
      <c r="AP4" s="49" t="str">
        <f t="shared" si="0"/>
        <v>MTO-19</v>
      </c>
      <c r="AQ4" s="49" t="str">
        <f t="shared" si="0"/>
        <v>MTO-18</v>
      </c>
      <c r="AR4" s="49" t="str">
        <f t="shared" si="0"/>
        <v>MTO-17</v>
      </c>
      <c r="AS4" s="49" t="str">
        <f t="shared" si="0"/>
        <v>MTO-16</v>
      </c>
      <c r="AT4" s="49" t="str">
        <f t="shared" si="0"/>
        <v>MTO-15</v>
      </c>
      <c r="AU4" s="49" t="str">
        <f t="shared" si="0"/>
        <v>MTO-14</v>
      </c>
      <c r="AV4" s="49" t="str">
        <f t="shared" si="0"/>
        <v>MTO-13</v>
      </c>
      <c r="AW4" s="49" t="str">
        <f t="shared" si="0"/>
        <v>MTO-12</v>
      </c>
      <c r="AX4" s="49" t="str">
        <f t="shared" si="0"/>
        <v>MTO-11</v>
      </c>
      <c r="AY4" s="49" t="str">
        <f t="shared" si="0"/>
        <v>MTO-10</v>
      </c>
      <c r="AZ4" s="49" t="str">
        <f t="shared" si="0"/>
        <v>MTO-9</v>
      </c>
      <c r="BA4" s="49" t="str">
        <f t="shared" si="0"/>
        <v>MTO-8</v>
      </c>
      <c r="BB4" s="49" t="str">
        <f t="shared" si="0"/>
        <v>MTO-7</v>
      </c>
      <c r="BC4" s="49" t="str">
        <f t="shared" si="0"/>
        <v>MTO-6</v>
      </c>
      <c r="BD4" s="49" t="str">
        <f t="shared" si="0"/>
        <v>MTO-5</v>
      </c>
      <c r="BE4" s="49" t="str">
        <f t="shared" si="0"/>
        <v>MTO-4</v>
      </c>
      <c r="BF4" s="49" t="str">
        <f t="shared" si="0"/>
        <v>MTO-3</v>
      </c>
      <c r="BG4" s="49" t="str">
        <f t="shared" si="0"/>
        <v>MTO-2</v>
      </c>
      <c r="BH4" s="49" t="str">
        <f>"MTO" &amp;BH3</f>
        <v>MTO-1</v>
      </c>
      <c r="BI4" s="49" t="s">
        <v>71</v>
      </c>
      <c r="BJ4" s="49" t="str">
        <f>"MTO+" &amp;BJ3</f>
        <v>MTO+1</v>
      </c>
      <c r="BK4" s="49" t="str">
        <f t="shared" ref="BK4:CS4" si="1">"MTO+" &amp;BK3</f>
        <v>MTO+2</v>
      </c>
      <c r="BL4" s="49" t="str">
        <f t="shared" si="1"/>
        <v>MTO+3</v>
      </c>
      <c r="BM4" s="49" t="str">
        <f t="shared" si="1"/>
        <v>MTO+4</v>
      </c>
      <c r="BN4" s="49" t="str">
        <f t="shared" si="1"/>
        <v>MTO+5</v>
      </c>
      <c r="BO4" s="49" t="str">
        <f t="shared" si="1"/>
        <v>MTO+6</v>
      </c>
      <c r="BP4" s="49" t="str">
        <f t="shared" si="1"/>
        <v>MTO+7</v>
      </c>
      <c r="BQ4" s="49" t="str">
        <f t="shared" si="1"/>
        <v>MTO+8</v>
      </c>
      <c r="BR4" s="49" t="str">
        <f t="shared" si="1"/>
        <v>MTO+9</v>
      </c>
      <c r="BS4" s="49" t="str">
        <f t="shared" si="1"/>
        <v>MTO+10</v>
      </c>
      <c r="BT4" s="49" t="str">
        <f t="shared" si="1"/>
        <v>MTO+11</v>
      </c>
      <c r="BU4" s="49" t="str">
        <f t="shared" si="1"/>
        <v>MTO+12</v>
      </c>
      <c r="BV4" s="49" t="str">
        <f t="shared" si="1"/>
        <v>MTO+13</v>
      </c>
      <c r="BW4" s="49" t="str">
        <f t="shared" si="1"/>
        <v>MTO+14</v>
      </c>
      <c r="BX4" s="49" t="str">
        <f t="shared" si="1"/>
        <v>MTO+15</v>
      </c>
      <c r="BY4" s="49" t="str">
        <f t="shared" si="1"/>
        <v>MTO+16</v>
      </c>
      <c r="BZ4" s="49" t="str">
        <f t="shared" si="1"/>
        <v>MTO+17</v>
      </c>
      <c r="CA4" s="49" t="str">
        <f t="shared" si="1"/>
        <v>MTO+18</v>
      </c>
      <c r="CB4" s="49" t="str">
        <f t="shared" si="1"/>
        <v>MTO+19</v>
      </c>
      <c r="CC4" s="49" t="str">
        <f t="shared" si="1"/>
        <v>MTO+20</v>
      </c>
      <c r="CD4" s="49" t="str">
        <f t="shared" si="1"/>
        <v>MTO+21</v>
      </c>
      <c r="CE4" s="49" t="str">
        <f t="shared" si="1"/>
        <v>MTO+22</v>
      </c>
      <c r="CF4" s="49" t="str">
        <f t="shared" si="1"/>
        <v>MTO+23</v>
      </c>
      <c r="CG4" s="49" t="str">
        <f t="shared" si="1"/>
        <v>MTO+24</v>
      </c>
      <c r="CH4" s="49" t="str">
        <f t="shared" si="1"/>
        <v>MTO+25</v>
      </c>
      <c r="CI4" s="49" t="str">
        <f t="shared" si="1"/>
        <v>MTO+26</v>
      </c>
      <c r="CJ4" s="49" t="str">
        <f t="shared" si="1"/>
        <v>MTO+27</v>
      </c>
      <c r="CK4" s="49" t="str">
        <f t="shared" si="1"/>
        <v>MTO+28</v>
      </c>
      <c r="CL4" s="49" t="str">
        <f t="shared" si="1"/>
        <v>MTO+29</v>
      </c>
      <c r="CM4" s="49" t="str">
        <f t="shared" si="1"/>
        <v>MTO+30</v>
      </c>
      <c r="CN4" s="49" t="str">
        <f t="shared" si="1"/>
        <v>MTO+31</v>
      </c>
      <c r="CO4" s="49" t="str">
        <f t="shared" si="1"/>
        <v>MTO+32</v>
      </c>
      <c r="CP4" s="49" t="str">
        <f t="shared" si="1"/>
        <v>MTO+33</v>
      </c>
      <c r="CQ4" s="49" t="str">
        <f t="shared" si="1"/>
        <v>MTO+34</v>
      </c>
      <c r="CR4" s="49" t="str">
        <f t="shared" si="1"/>
        <v>MTO+35</v>
      </c>
      <c r="CS4" s="49" t="str">
        <f t="shared" si="1"/>
        <v>MTO+36</v>
      </c>
    </row>
    <row r="5" spans="1:97" ht="18" customHeight="1" x14ac:dyDescent="0.2">
      <c r="A5" s="50"/>
      <c r="B5" s="49" t="s">
        <v>69</v>
      </c>
      <c r="C5" s="49" t="s">
        <v>43</v>
      </c>
      <c r="D5" s="49" t="s">
        <v>44</v>
      </c>
      <c r="E5" s="49" t="s">
        <v>45</v>
      </c>
      <c r="F5" s="49" t="s">
        <v>46</v>
      </c>
      <c r="G5" s="49" t="s">
        <v>47</v>
      </c>
      <c r="H5" s="49" t="s">
        <v>48</v>
      </c>
      <c r="I5" s="49" t="s">
        <v>49</v>
      </c>
      <c r="J5" s="49" t="s">
        <v>50</v>
      </c>
      <c r="K5" s="49" t="s">
        <v>51</v>
      </c>
      <c r="L5" s="49" t="s">
        <v>52</v>
      </c>
      <c r="M5" s="49" t="s">
        <v>53</v>
      </c>
      <c r="N5" s="49" t="s">
        <v>54</v>
      </c>
      <c r="O5" s="49" t="s">
        <v>55</v>
      </c>
      <c r="P5" s="49" t="s">
        <v>56</v>
      </c>
      <c r="Q5" s="49" t="s">
        <v>57</v>
      </c>
      <c r="R5" s="49" t="s">
        <v>58</v>
      </c>
      <c r="S5" s="49" t="s">
        <v>59</v>
      </c>
      <c r="T5" s="49" t="s">
        <v>63</v>
      </c>
      <c r="U5" s="49" t="s">
        <v>64</v>
      </c>
      <c r="V5" s="49" t="s">
        <v>65</v>
      </c>
      <c r="W5" s="49" t="s">
        <v>66</v>
      </c>
      <c r="X5" s="50"/>
      <c r="Y5" s="55">
        <f>SUM(Y6:Y43)</f>
        <v>0</v>
      </c>
      <c r="Z5" s="55">
        <f t="shared" ref="Z5:CK5" si="2">SUM(Z6:Z43)</f>
        <v>0</v>
      </c>
      <c r="AA5" s="55">
        <f t="shared" si="2"/>
        <v>0</v>
      </c>
      <c r="AB5" s="55">
        <f t="shared" si="2"/>
        <v>0</v>
      </c>
      <c r="AC5" s="55">
        <f t="shared" si="2"/>
        <v>0</v>
      </c>
      <c r="AD5" s="55">
        <f t="shared" si="2"/>
        <v>0</v>
      </c>
      <c r="AE5" s="55">
        <f t="shared" si="2"/>
        <v>0</v>
      </c>
      <c r="AF5" s="55">
        <f t="shared" si="2"/>
        <v>0</v>
      </c>
      <c r="AG5" s="55">
        <f t="shared" si="2"/>
        <v>0</v>
      </c>
      <c r="AH5" s="55">
        <f t="shared" si="2"/>
        <v>0</v>
      </c>
      <c r="AI5" s="55">
        <f t="shared" si="2"/>
        <v>0</v>
      </c>
      <c r="AJ5" s="55">
        <f t="shared" si="2"/>
        <v>0</v>
      </c>
      <c r="AK5" s="55">
        <f t="shared" si="2"/>
        <v>0</v>
      </c>
      <c r="AL5" s="55">
        <f t="shared" si="2"/>
        <v>0</v>
      </c>
      <c r="AM5" s="55">
        <f t="shared" si="2"/>
        <v>0</v>
      </c>
      <c r="AN5" s="55">
        <f t="shared" si="2"/>
        <v>0</v>
      </c>
      <c r="AO5" s="55">
        <f t="shared" si="2"/>
        <v>0</v>
      </c>
      <c r="AP5" s="55">
        <f t="shared" si="2"/>
        <v>0</v>
      </c>
      <c r="AQ5" s="55">
        <f t="shared" si="2"/>
        <v>0</v>
      </c>
      <c r="AR5" s="55">
        <f t="shared" si="2"/>
        <v>0</v>
      </c>
      <c r="AS5" s="55">
        <f t="shared" si="2"/>
        <v>0</v>
      </c>
      <c r="AT5" s="55">
        <f t="shared" si="2"/>
        <v>0</v>
      </c>
      <c r="AU5" s="55">
        <f t="shared" si="2"/>
        <v>0</v>
      </c>
      <c r="AV5" s="55">
        <f t="shared" si="2"/>
        <v>0</v>
      </c>
      <c r="AW5" s="55">
        <f t="shared" si="2"/>
        <v>0</v>
      </c>
      <c r="AX5" s="55">
        <f t="shared" si="2"/>
        <v>114</v>
      </c>
      <c r="AY5" s="55">
        <f t="shared" si="2"/>
        <v>114</v>
      </c>
      <c r="AZ5" s="55">
        <f t="shared" si="2"/>
        <v>114</v>
      </c>
      <c r="BA5" s="55">
        <f t="shared" si="2"/>
        <v>228</v>
      </c>
      <c r="BB5" s="55">
        <f t="shared" si="2"/>
        <v>228</v>
      </c>
      <c r="BC5" s="55">
        <f t="shared" si="2"/>
        <v>228</v>
      </c>
      <c r="BD5" s="55">
        <f t="shared" si="2"/>
        <v>380</v>
      </c>
      <c r="BE5" s="55">
        <f t="shared" si="2"/>
        <v>380</v>
      </c>
      <c r="BF5" s="55">
        <f t="shared" si="2"/>
        <v>380</v>
      </c>
      <c r="BG5" s="55">
        <f t="shared" si="2"/>
        <v>760</v>
      </c>
      <c r="BH5" s="55">
        <f t="shared" si="2"/>
        <v>760</v>
      </c>
      <c r="BI5" s="55">
        <f t="shared" si="2"/>
        <v>760</v>
      </c>
      <c r="BJ5" s="55">
        <f t="shared" si="2"/>
        <v>760</v>
      </c>
      <c r="BK5" s="55">
        <f t="shared" si="2"/>
        <v>760</v>
      </c>
      <c r="BL5" s="55">
        <f t="shared" si="2"/>
        <v>760</v>
      </c>
      <c r="BM5" s="55">
        <f t="shared" si="2"/>
        <v>380</v>
      </c>
      <c r="BN5" s="55">
        <f t="shared" si="2"/>
        <v>380</v>
      </c>
      <c r="BO5" s="55">
        <f t="shared" si="2"/>
        <v>380</v>
      </c>
      <c r="BP5" s="55">
        <f t="shared" si="2"/>
        <v>228</v>
      </c>
      <c r="BQ5" s="55">
        <f t="shared" si="2"/>
        <v>228</v>
      </c>
      <c r="BR5" s="55">
        <f t="shared" si="2"/>
        <v>228</v>
      </c>
      <c r="BS5" s="55">
        <f t="shared" si="2"/>
        <v>114</v>
      </c>
      <c r="BT5" s="55">
        <f t="shared" si="2"/>
        <v>114</v>
      </c>
      <c r="BU5" s="55">
        <f t="shared" si="2"/>
        <v>114</v>
      </c>
      <c r="BV5" s="55">
        <f t="shared" si="2"/>
        <v>0</v>
      </c>
      <c r="BW5" s="55">
        <f t="shared" si="2"/>
        <v>0</v>
      </c>
      <c r="BX5" s="55">
        <f t="shared" si="2"/>
        <v>0</v>
      </c>
      <c r="BY5" s="55">
        <f t="shared" si="2"/>
        <v>0</v>
      </c>
      <c r="BZ5" s="55">
        <f t="shared" si="2"/>
        <v>0</v>
      </c>
      <c r="CA5" s="55">
        <f t="shared" si="2"/>
        <v>0</v>
      </c>
      <c r="CB5" s="55">
        <f t="shared" si="2"/>
        <v>0</v>
      </c>
      <c r="CC5" s="55">
        <f t="shared" si="2"/>
        <v>0</v>
      </c>
      <c r="CD5" s="55">
        <f t="shared" si="2"/>
        <v>0</v>
      </c>
      <c r="CE5" s="55">
        <f t="shared" si="2"/>
        <v>0</v>
      </c>
      <c r="CF5" s="55">
        <f t="shared" si="2"/>
        <v>0</v>
      </c>
      <c r="CG5" s="55">
        <f t="shared" si="2"/>
        <v>0</v>
      </c>
      <c r="CH5" s="55">
        <f t="shared" si="2"/>
        <v>0</v>
      </c>
      <c r="CI5" s="55">
        <f t="shared" si="2"/>
        <v>0</v>
      </c>
      <c r="CJ5" s="55">
        <f t="shared" si="2"/>
        <v>0</v>
      </c>
      <c r="CK5" s="55">
        <f t="shared" si="2"/>
        <v>0</v>
      </c>
      <c r="CL5" s="55">
        <f t="shared" ref="CL5:CS5" si="3">SUM(CL6:CL43)</f>
        <v>0</v>
      </c>
      <c r="CM5" s="55">
        <f t="shared" si="3"/>
        <v>0</v>
      </c>
      <c r="CN5" s="55">
        <f t="shared" si="3"/>
        <v>0</v>
      </c>
      <c r="CO5" s="55">
        <f t="shared" si="3"/>
        <v>0</v>
      </c>
      <c r="CP5" s="55">
        <f t="shared" si="3"/>
        <v>0</v>
      </c>
      <c r="CQ5" s="55">
        <f t="shared" si="3"/>
        <v>0</v>
      </c>
      <c r="CR5" s="55">
        <f t="shared" si="3"/>
        <v>0</v>
      </c>
      <c r="CS5" s="55">
        <f t="shared" si="3"/>
        <v>0</v>
      </c>
    </row>
    <row r="6" spans="1:97" ht="18" customHeight="1" x14ac:dyDescent="0.2">
      <c r="A6" s="11">
        <v>1</v>
      </c>
      <c r="B6" s="11" t="s">
        <v>72</v>
      </c>
      <c r="C6" s="11" t="s">
        <v>73</v>
      </c>
      <c r="D6" s="11" t="s">
        <v>74</v>
      </c>
      <c r="E6" s="11" t="s">
        <v>75</v>
      </c>
      <c r="F6" s="11" t="s">
        <v>76</v>
      </c>
      <c r="G6" s="11" t="s">
        <v>47</v>
      </c>
      <c r="H6" s="11" t="s">
        <v>77</v>
      </c>
      <c r="I6" s="11" t="s">
        <v>78</v>
      </c>
      <c r="J6" s="11" t="s">
        <v>79</v>
      </c>
      <c r="K6" s="11" t="s">
        <v>51</v>
      </c>
      <c r="L6" s="11" t="s">
        <v>80</v>
      </c>
      <c r="M6" s="14" t="s">
        <v>53</v>
      </c>
      <c r="N6" s="14" t="s">
        <v>81</v>
      </c>
      <c r="O6" s="14" t="s">
        <v>55</v>
      </c>
      <c r="P6" s="14" t="s">
        <v>56</v>
      </c>
      <c r="Q6" s="14" t="s">
        <v>57</v>
      </c>
      <c r="R6" s="14" t="s">
        <v>58</v>
      </c>
      <c r="S6" s="14" t="s">
        <v>59</v>
      </c>
      <c r="T6" s="14" t="s">
        <v>63</v>
      </c>
      <c r="U6" s="14" t="s">
        <v>64</v>
      </c>
      <c r="V6" s="14" t="s">
        <v>65</v>
      </c>
      <c r="W6" s="14" t="s">
        <v>66</v>
      </c>
      <c r="X6" s="55">
        <f>SUM(Y6:CS6)</f>
        <v>234</v>
      </c>
      <c r="Y6" s="54">
        <v>0</v>
      </c>
      <c r="Z6" s="54">
        <v>0</v>
      </c>
      <c r="AA6" s="54">
        <v>0</v>
      </c>
      <c r="AB6" s="54">
        <v>0</v>
      </c>
      <c r="AC6" s="54">
        <v>0</v>
      </c>
      <c r="AD6" s="54">
        <v>0</v>
      </c>
      <c r="AE6" s="54">
        <v>0</v>
      </c>
      <c r="AF6" s="54">
        <v>0</v>
      </c>
      <c r="AG6" s="54">
        <v>0</v>
      </c>
      <c r="AH6" s="54">
        <v>0</v>
      </c>
      <c r="AI6" s="54">
        <v>0</v>
      </c>
      <c r="AJ6" s="54">
        <v>0</v>
      </c>
      <c r="AK6" s="54">
        <v>0</v>
      </c>
      <c r="AL6" s="54">
        <v>0</v>
      </c>
      <c r="AM6" s="54">
        <v>0</v>
      </c>
      <c r="AN6" s="54">
        <v>0</v>
      </c>
      <c r="AO6" s="54">
        <v>0</v>
      </c>
      <c r="AP6" s="54">
        <v>0</v>
      </c>
      <c r="AQ6" s="54">
        <v>0</v>
      </c>
      <c r="AR6" s="54">
        <v>0</v>
      </c>
      <c r="AS6" s="54">
        <v>0</v>
      </c>
      <c r="AT6" s="54">
        <v>0</v>
      </c>
      <c r="AU6" s="54">
        <v>0</v>
      </c>
      <c r="AV6" s="54">
        <v>0</v>
      </c>
      <c r="AW6" s="54">
        <v>0</v>
      </c>
      <c r="AX6" s="54">
        <v>3</v>
      </c>
      <c r="AY6" s="54">
        <v>3</v>
      </c>
      <c r="AZ6" s="54">
        <v>3</v>
      </c>
      <c r="BA6" s="54">
        <v>6</v>
      </c>
      <c r="BB6" s="54">
        <v>6</v>
      </c>
      <c r="BC6" s="54">
        <v>6</v>
      </c>
      <c r="BD6" s="54">
        <v>10</v>
      </c>
      <c r="BE6" s="54">
        <v>10</v>
      </c>
      <c r="BF6" s="54">
        <v>10</v>
      </c>
      <c r="BG6" s="54">
        <v>20</v>
      </c>
      <c r="BH6" s="54">
        <v>20</v>
      </c>
      <c r="BI6" s="54">
        <v>20</v>
      </c>
      <c r="BJ6" s="54">
        <v>20</v>
      </c>
      <c r="BK6" s="54">
        <v>20</v>
      </c>
      <c r="BL6" s="54">
        <v>20</v>
      </c>
      <c r="BM6" s="54">
        <v>10</v>
      </c>
      <c r="BN6" s="54">
        <v>10</v>
      </c>
      <c r="BO6" s="54">
        <v>10</v>
      </c>
      <c r="BP6" s="54">
        <v>6</v>
      </c>
      <c r="BQ6" s="54">
        <v>6</v>
      </c>
      <c r="BR6" s="54">
        <v>6</v>
      </c>
      <c r="BS6" s="54">
        <v>3</v>
      </c>
      <c r="BT6" s="54">
        <v>3</v>
      </c>
      <c r="BU6" s="54">
        <v>3</v>
      </c>
      <c r="BV6" s="54">
        <v>0</v>
      </c>
      <c r="BW6" s="54">
        <v>0</v>
      </c>
      <c r="BX6" s="54">
        <v>0</v>
      </c>
      <c r="BY6" s="54">
        <v>0</v>
      </c>
      <c r="BZ6" s="54">
        <v>0</v>
      </c>
      <c r="CA6" s="54">
        <v>0</v>
      </c>
      <c r="CB6" s="54">
        <v>0</v>
      </c>
      <c r="CC6" s="54">
        <v>0</v>
      </c>
      <c r="CD6" s="54">
        <v>0</v>
      </c>
      <c r="CE6" s="54">
        <v>0</v>
      </c>
      <c r="CF6" s="54">
        <v>0</v>
      </c>
      <c r="CG6" s="54">
        <v>0</v>
      </c>
      <c r="CH6" s="54">
        <v>0</v>
      </c>
      <c r="CI6" s="54">
        <v>0</v>
      </c>
      <c r="CJ6" s="54">
        <v>0</v>
      </c>
      <c r="CK6" s="54">
        <v>0</v>
      </c>
      <c r="CL6" s="54">
        <v>0</v>
      </c>
      <c r="CM6" s="54">
        <v>0</v>
      </c>
      <c r="CN6" s="54">
        <v>0</v>
      </c>
      <c r="CO6" s="54">
        <v>0</v>
      </c>
      <c r="CP6" s="54">
        <v>0</v>
      </c>
      <c r="CQ6" s="54">
        <v>0</v>
      </c>
      <c r="CR6" s="54">
        <v>0</v>
      </c>
      <c r="CS6" s="54">
        <v>0</v>
      </c>
    </row>
    <row r="7" spans="1:97" ht="18" customHeight="1" x14ac:dyDescent="0.2">
      <c r="A7" s="11">
        <v>2</v>
      </c>
      <c r="B7" s="11" t="s">
        <v>82</v>
      </c>
      <c r="C7" s="11" t="s">
        <v>83</v>
      </c>
      <c r="D7" s="11" t="s">
        <v>84</v>
      </c>
      <c r="E7" s="11" t="s">
        <v>85</v>
      </c>
      <c r="F7" s="11" t="s">
        <v>86</v>
      </c>
      <c r="G7" s="11" t="s">
        <v>48</v>
      </c>
      <c r="H7" s="11" t="s">
        <v>87</v>
      </c>
      <c r="I7" s="11" t="s">
        <v>88</v>
      </c>
      <c r="J7" s="11" t="s">
        <v>89</v>
      </c>
      <c r="K7" s="11" t="s">
        <v>52</v>
      </c>
      <c r="L7" s="11" t="s">
        <v>90</v>
      </c>
      <c r="M7" s="14" t="s">
        <v>54</v>
      </c>
      <c r="N7" s="14" t="s">
        <v>81</v>
      </c>
      <c r="O7" s="14" t="s">
        <v>55</v>
      </c>
      <c r="P7" s="14" t="s">
        <v>56</v>
      </c>
      <c r="Q7" s="14" t="s">
        <v>57</v>
      </c>
      <c r="R7" s="14" t="s">
        <v>58</v>
      </c>
      <c r="S7" s="14" t="s">
        <v>59</v>
      </c>
      <c r="T7" s="14" t="s">
        <v>63</v>
      </c>
      <c r="U7" s="14" t="s">
        <v>64</v>
      </c>
      <c r="V7" s="14" t="s">
        <v>65</v>
      </c>
      <c r="W7" s="14" t="s">
        <v>66</v>
      </c>
      <c r="X7" s="55">
        <f t="shared" ref="X7:X43" si="4">SUM(Y7:CS7)</f>
        <v>234</v>
      </c>
      <c r="Y7" s="54">
        <v>0</v>
      </c>
      <c r="Z7" s="54">
        <v>0</v>
      </c>
      <c r="AA7" s="54">
        <v>0</v>
      </c>
      <c r="AB7" s="54">
        <v>0</v>
      </c>
      <c r="AC7" s="54">
        <v>0</v>
      </c>
      <c r="AD7" s="54">
        <v>0</v>
      </c>
      <c r="AE7" s="54">
        <v>0</v>
      </c>
      <c r="AF7" s="54">
        <v>0</v>
      </c>
      <c r="AG7" s="54">
        <v>0</v>
      </c>
      <c r="AH7" s="54">
        <v>0</v>
      </c>
      <c r="AI7" s="54">
        <v>0</v>
      </c>
      <c r="AJ7" s="54">
        <v>0</v>
      </c>
      <c r="AK7" s="54">
        <v>0</v>
      </c>
      <c r="AL7" s="54">
        <v>0</v>
      </c>
      <c r="AM7" s="54">
        <v>0</v>
      </c>
      <c r="AN7" s="54">
        <v>0</v>
      </c>
      <c r="AO7" s="54">
        <v>0</v>
      </c>
      <c r="AP7" s="54">
        <v>0</v>
      </c>
      <c r="AQ7" s="54">
        <v>0</v>
      </c>
      <c r="AR7" s="54">
        <v>0</v>
      </c>
      <c r="AS7" s="54">
        <v>0</v>
      </c>
      <c r="AT7" s="54">
        <v>0</v>
      </c>
      <c r="AU7" s="54">
        <v>0</v>
      </c>
      <c r="AV7" s="54">
        <v>0</v>
      </c>
      <c r="AW7" s="54">
        <v>0</v>
      </c>
      <c r="AX7" s="54">
        <v>3</v>
      </c>
      <c r="AY7" s="54">
        <v>3</v>
      </c>
      <c r="AZ7" s="54">
        <v>3</v>
      </c>
      <c r="BA7" s="54">
        <v>6</v>
      </c>
      <c r="BB7" s="54">
        <v>6</v>
      </c>
      <c r="BC7" s="54">
        <v>6</v>
      </c>
      <c r="BD7" s="54">
        <v>10</v>
      </c>
      <c r="BE7" s="54">
        <v>10</v>
      </c>
      <c r="BF7" s="54">
        <v>10</v>
      </c>
      <c r="BG7" s="54">
        <v>20</v>
      </c>
      <c r="BH7" s="54">
        <v>20</v>
      </c>
      <c r="BI7" s="54">
        <v>20</v>
      </c>
      <c r="BJ7" s="54">
        <v>20</v>
      </c>
      <c r="BK7" s="54">
        <v>20</v>
      </c>
      <c r="BL7" s="54">
        <v>20</v>
      </c>
      <c r="BM7" s="54">
        <v>10</v>
      </c>
      <c r="BN7" s="54">
        <v>10</v>
      </c>
      <c r="BO7" s="54">
        <v>10</v>
      </c>
      <c r="BP7" s="54">
        <v>6</v>
      </c>
      <c r="BQ7" s="54">
        <v>6</v>
      </c>
      <c r="BR7" s="54">
        <v>6</v>
      </c>
      <c r="BS7" s="54">
        <v>3</v>
      </c>
      <c r="BT7" s="54">
        <v>3</v>
      </c>
      <c r="BU7" s="54">
        <v>3</v>
      </c>
      <c r="BV7" s="54">
        <v>0</v>
      </c>
      <c r="BW7" s="54">
        <v>0</v>
      </c>
      <c r="BX7" s="54">
        <v>0</v>
      </c>
      <c r="BY7" s="54">
        <v>0</v>
      </c>
      <c r="BZ7" s="54">
        <v>0</v>
      </c>
      <c r="CA7" s="54">
        <v>0</v>
      </c>
      <c r="CB7" s="54">
        <v>0</v>
      </c>
      <c r="CC7" s="54">
        <v>0</v>
      </c>
      <c r="CD7" s="54">
        <v>0</v>
      </c>
      <c r="CE7" s="54">
        <v>0</v>
      </c>
      <c r="CF7" s="54">
        <v>0</v>
      </c>
      <c r="CG7" s="54">
        <v>0</v>
      </c>
      <c r="CH7" s="54">
        <v>0</v>
      </c>
      <c r="CI7" s="54">
        <v>0</v>
      </c>
      <c r="CJ7" s="54">
        <v>0</v>
      </c>
      <c r="CK7" s="54">
        <v>0</v>
      </c>
      <c r="CL7" s="54">
        <v>0</v>
      </c>
      <c r="CM7" s="54">
        <v>0</v>
      </c>
      <c r="CN7" s="54">
        <v>0</v>
      </c>
      <c r="CO7" s="54">
        <v>0</v>
      </c>
      <c r="CP7" s="54">
        <v>0</v>
      </c>
      <c r="CQ7" s="54">
        <v>0</v>
      </c>
      <c r="CR7" s="54">
        <v>0</v>
      </c>
      <c r="CS7" s="54">
        <v>0</v>
      </c>
    </row>
    <row r="8" spans="1:97" ht="18" customHeight="1" x14ac:dyDescent="0.2">
      <c r="A8" s="11">
        <v>3</v>
      </c>
      <c r="B8" s="11" t="s">
        <v>91</v>
      </c>
      <c r="C8" s="11" t="s">
        <v>92</v>
      </c>
      <c r="D8" s="11" t="s">
        <v>93</v>
      </c>
      <c r="E8" s="11" t="s">
        <v>94</v>
      </c>
      <c r="F8" s="11" t="s">
        <v>95</v>
      </c>
      <c r="G8" s="11" t="s">
        <v>96</v>
      </c>
      <c r="H8" s="11" t="s">
        <v>97</v>
      </c>
      <c r="I8" s="11" t="s">
        <v>98</v>
      </c>
      <c r="J8" s="11" t="s">
        <v>99</v>
      </c>
      <c r="K8" s="11" t="s">
        <v>100</v>
      </c>
      <c r="L8" s="11" t="s">
        <v>101</v>
      </c>
      <c r="M8" s="14" t="s">
        <v>102</v>
      </c>
      <c r="N8" s="14" t="s">
        <v>81</v>
      </c>
      <c r="O8" s="14" t="s">
        <v>55</v>
      </c>
      <c r="P8" s="14" t="s">
        <v>56</v>
      </c>
      <c r="Q8" s="14" t="s">
        <v>57</v>
      </c>
      <c r="R8" s="14" t="s">
        <v>58</v>
      </c>
      <c r="S8" s="14" t="s">
        <v>59</v>
      </c>
      <c r="T8" s="14" t="s">
        <v>63</v>
      </c>
      <c r="U8" s="14" t="s">
        <v>64</v>
      </c>
      <c r="V8" s="14" t="s">
        <v>65</v>
      </c>
      <c r="W8" s="14" t="s">
        <v>66</v>
      </c>
      <c r="X8" s="55">
        <f t="shared" si="4"/>
        <v>234</v>
      </c>
      <c r="Y8" s="54">
        <v>0</v>
      </c>
      <c r="Z8" s="54">
        <v>0</v>
      </c>
      <c r="AA8" s="54">
        <v>0</v>
      </c>
      <c r="AB8" s="54">
        <v>0</v>
      </c>
      <c r="AC8" s="54">
        <v>0</v>
      </c>
      <c r="AD8" s="54">
        <v>0</v>
      </c>
      <c r="AE8" s="54">
        <v>0</v>
      </c>
      <c r="AF8" s="54">
        <v>0</v>
      </c>
      <c r="AG8" s="54">
        <v>0</v>
      </c>
      <c r="AH8" s="54">
        <v>0</v>
      </c>
      <c r="AI8" s="54">
        <v>0</v>
      </c>
      <c r="AJ8" s="54">
        <v>0</v>
      </c>
      <c r="AK8" s="54">
        <v>0</v>
      </c>
      <c r="AL8" s="54">
        <v>0</v>
      </c>
      <c r="AM8" s="54">
        <v>0</v>
      </c>
      <c r="AN8" s="54">
        <v>0</v>
      </c>
      <c r="AO8" s="54">
        <v>0</v>
      </c>
      <c r="AP8" s="54">
        <v>0</v>
      </c>
      <c r="AQ8" s="54">
        <v>0</v>
      </c>
      <c r="AR8" s="54">
        <v>0</v>
      </c>
      <c r="AS8" s="54">
        <v>0</v>
      </c>
      <c r="AT8" s="54">
        <v>0</v>
      </c>
      <c r="AU8" s="54">
        <v>0</v>
      </c>
      <c r="AV8" s="54">
        <v>0</v>
      </c>
      <c r="AW8" s="54">
        <v>0</v>
      </c>
      <c r="AX8" s="54">
        <v>3</v>
      </c>
      <c r="AY8" s="54">
        <v>3</v>
      </c>
      <c r="AZ8" s="54">
        <v>3</v>
      </c>
      <c r="BA8" s="54">
        <v>6</v>
      </c>
      <c r="BB8" s="54">
        <v>6</v>
      </c>
      <c r="BC8" s="54">
        <v>6</v>
      </c>
      <c r="BD8" s="54">
        <v>10</v>
      </c>
      <c r="BE8" s="54">
        <v>10</v>
      </c>
      <c r="BF8" s="54">
        <v>10</v>
      </c>
      <c r="BG8" s="54">
        <v>20</v>
      </c>
      <c r="BH8" s="54">
        <v>20</v>
      </c>
      <c r="BI8" s="54">
        <v>20</v>
      </c>
      <c r="BJ8" s="54">
        <v>20</v>
      </c>
      <c r="BK8" s="54">
        <v>20</v>
      </c>
      <c r="BL8" s="54">
        <v>20</v>
      </c>
      <c r="BM8" s="54">
        <v>10</v>
      </c>
      <c r="BN8" s="54">
        <v>10</v>
      </c>
      <c r="BO8" s="54">
        <v>10</v>
      </c>
      <c r="BP8" s="54">
        <v>6</v>
      </c>
      <c r="BQ8" s="54">
        <v>6</v>
      </c>
      <c r="BR8" s="54">
        <v>6</v>
      </c>
      <c r="BS8" s="54">
        <v>3</v>
      </c>
      <c r="BT8" s="54">
        <v>3</v>
      </c>
      <c r="BU8" s="54">
        <v>3</v>
      </c>
      <c r="BV8" s="54">
        <v>0</v>
      </c>
      <c r="BW8" s="54">
        <v>0</v>
      </c>
      <c r="BX8" s="54">
        <v>0</v>
      </c>
      <c r="BY8" s="54">
        <v>0</v>
      </c>
      <c r="BZ8" s="54">
        <v>0</v>
      </c>
      <c r="CA8" s="54">
        <v>0</v>
      </c>
      <c r="CB8" s="54">
        <v>0</v>
      </c>
      <c r="CC8" s="54">
        <v>0</v>
      </c>
      <c r="CD8" s="54">
        <v>0</v>
      </c>
      <c r="CE8" s="54">
        <v>0</v>
      </c>
      <c r="CF8" s="54">
        <v>0</v>
      </c>
      <c r="CG8" s="54">
        <v>0</v>
      </c>
      <c r="CH8" s="54">
        <v>0</v>
      </c>
      <c r="CI8" s="54">
        <v>0</v>
      </c>
      <c r="CJ8" s="54">
        <v>0</v>
      </c>
      <c r="CK8" s="54">
        <v>0</v>
      </c>
      <c r="CL8" s="54">
        <v>0</v>
      </c>
      <c r="CM8" s="54">
        <v>0</v>
      </c>
      <c r="CN8" s="54">
        <v>0</v>
      </c>
      <c r="CO8" s="54">
        <v>0</v>
      </c>
      <c r="CP8" s="54">
        <v>0</v>
      </c>
      <c r="CQ8" s="54">
        <v>0</v>
      </c>
      <c r="CR8" s="54">
        <v>0</v>
      </c>
      <c r="CS8" s="54">
        <v>0</v>
      </c>
    </row>
    <row r="9" spans="1:97" ht="18" customHeight="1" x14ac:dyDescent="0.2">
      <c r="A9" s="11">
        <v>4</v>
      </c>
      <c r="B9" s="11" t="s">
        <v>103</v>
      </c>
      <c r="C9" s="11" t="s">
        <v>104</v>
      </c>
      <c r="D9" s="11" t="s">
        <v>105</v>
      </c>
      <c r="E9" s="11" t="s">
        <v>106</v>
      </c>
      <c r="F9" s="11" t="s">
        <v>107</v>
      </c>
      <c r="G9" s="11" t="s">
        <v>108</v>
      </c>
      <c r="H9" s="11" t="s">
        <v>109</v>
      </c>
      <c r="I9" s="11" t="s">
        <v>110</v>
      </c>
      <c r="J9" s="11" t="s">
        <v>111</v>
      </c>
      <c r="K9" s="11" t="s">
        <v>112</v>
      </c>
      <c r="L9" s="11" t="s">
        <v>113</v>
      </c>
      <c r="M9" s="14" t="s">
        <v>114</v>
      </c>
      <c r="N9" s="14" t="s">
        <v>81</v>
      </c>
      <c r="O9" s="14" t="s">
        <v>55</v>
      </c>
      <c r="P9" s="14" t="s">
        <v>56</v>
      </c>
      <c r="Q9" s="14" t="s">
        <v>57</v>
      </c>
      <c r="R9" s="14" t="s">
        <v>58</v>
      </c>
      <c r="S9" s="14" t="s">
        <v>59</v>
      </c>
      <c r="T9" s="14" t="s">
        <v>63</v>
      </c>
      <c r="U9" s="14" t="s">
        <v>64</v>
      </c>
      <c r="V9" s="14" t="s">
        <v>65</v>
      </c>
      <c r="W9" s="14" t="s">
        <v>66</v>
      </c>
      <c r="X9" s="55">
        <f t="shared" si="4"/>
        <v>234</v>
      </c>
      <c r="Y9" s="54">
        <v>0</v>
      </c>
      <c r="Z9" s="54">
        <v>0</v>
      </c>
      <c r="AA9" s="54">
        <v>0</v>
      </c>
      <c r="AB9" s="54">
        <v>0</v>
      </c>
      <c r="AC9" s="54">
        <v>0</v>
      </c>
      <c r="AD9" s="54">
        <v>0</v>
      </c>
      <c r="AE9" s="54">
        <v>0</v>
      </c>
      <c r="AF9" s="54">
        <v>0</v>
      </c>
      <c r="AG9" s="54">
        <v>0</v>
      </c>
      <c r="AH9" s="54">
        <v>0</v>
      </c>
      <c r="AI9" s="54">
        <v>0</v>
      </c>
      <c r="AJ9" s="54">
        <v>0</v>
      </c>
      <c r="AK9" s="54">
        <v>0</v>
      </c>
      <c r="AL9" s="54">
        <v>0</v>
      </c>
      <c r="AM9" s="54">
        <v>0</v>
      </c>
      <c r="AN9" s="54">
        <v>0</v>
      </c>
      <c r="AO9" s="54">
        <v>0</v>
      </c>
      <c r="AP9" s="54">
        <v>0</v>
      </c>
      <c r="AQ9" s="54">
        <v>0</v>
      </c>
      <c r="AR9" s="54">
        <v>0</v>
      </c>
      <c r="AS9" s="54">
        <v>0</v>
      </c>
      <c r="AT9" s="54">
        <v>0</v>
      </c>
      <c r="AU9" s="54">
        <v>0</v>
      </c>
      <c r="AV9" s="54">
        <v>0</v>
      </c>
      <c r="AW9" s="54">
        <v>0</v>
      </c>
      <c r="AX9" s="54">
        <v>3</v>
      </c>
      <c r="AY9" s="54">
        <v>3</v>
      </c>
      <c r="AZ9" s="54">
        <v>3</v>
      </c>
      <c r="BA9" s="54">
        <v>6</v>
      </c>
      <c r="BB9" s="54">
        <v>6</v>
      </c>
      <c r="BC9" s="54">
        <v>6</v>
      </c>
      <c r="BD9" s="54">
        <v>10</v>
      </c>
      <c r="BE9" s="54">
        <v>10</v>
      </c>
      <c r="BF9" s="54">
        <v>10</v>
      </c>
      <c r="BG9" s="54">
        <v>20</v>
      </c>
      <c r="BH9" s="54">
        <v>20</v>
      </c>
      <c r="BI9" s="54">
        <v>20</v>
      </c>
      <c r="BJ9" s="54">
        <v>20</v>
      </c>
      <c r="BK9" s="54">
        <v>20</v>
      </c>
      <c r="BL9" s="54">
        <v>20</v>
      </c>
      <c r="BM9" s="54">
        <v>10</v>
      </c>
      <c r="BN9" s="54">
        <v>10</v>
      </c>
      <c r="BO9" s="54">
        <v>10</v>
      </c>
      <c r="BP9" s="54">
        <v>6</v>
      </c>
      <c r="BQ9" s="54">
        <v>6</v>
      </c>
      <c r="BR9" s="54">
        <v>6</v>
      </c>
      <c r="BS9" s="54">
        <v>3</v>
      </c>
      <c r="BT9" s="54">
        <v>3</v>
      </c>
      <c r="BU9" s="54">
        <v>3</v>
      </c>
      <c r="BV9" s="54">
        <v>0</v>
      </c>
      <c r="BW9" s="54">
        <v>0</v>
      </c>
      <c r="BX9" s="54">
        <v>0</v>
      </c>
      <c r="BY9" s="54">
        <v>0</v>
      </c>
      <c r="BZ9" s="54">
        <v>0</v>
      </c>
      <c r="CA9" s="54">
        <v>0</v>
      </c>
      <c r="CB9" s="54">
        <v>0</v>
      </c>
      <c r="CC9" s="54">
        <v>0</v>
      </c>
      <c r="CD9" s="54">
        <v>0</v>
      </c>
      <c r="CE9" s="54">
        <v>0</v>
      </c>
      <c r="CF9" s="54">
        <v>0</v>
      </c>
      <c r="CG9" s="54">
        <v>0</v>
      </c>
      <c r="CH9" s="54">
        <v>0</v>
      </c>
      <c r="CI9" s="54">
        <v>0</v>
      </c>
      <c r="CJ9" s="54">
        <v>0</v>
      </c>
      <c r="CK9" s="54">
        <v>0</v>
      </c>
      <c r="CL9" s="54">
        <v>0</v>
      </c>
      <c r="CM9" s="54">
        <v>0</v>
      </c>
      <c r="CN9" s="54">
        <v>0</v>
      </c>
      <c r="CO9" s="54">
        <v>0</v>
      </c>
      <c r="CP9" s="54">
        <v>0</v>
      </c>
      <c r="CQ9" s="54">
        <v>0</v>
      </c>
      <c r="CR9" s="54">
        <v>0</v>
      </c>
      <c r="CS9" s="54">
        <v>0</v>
      </c>
    </row>
    <row r="10" spans="1:97" ht="18" customHeight="1" x14ac:dyDescent="0.2">
      <c r="A10" s="11">
        <v>5</v>
      </c>
      <c r="B10" s="11" t="s">
        <v>115</v>
      </c>
      <c r="C10" s="11" t="s">
        <v>116</v>
      </c>
      <c r="D10" s="11" t="s">
        <v>117</v>
      </c>
      <c r="E10" s="11" t="s">
        <v>118</v>
      </c>
      <c r="F10" s="11" t="s">
        <v>119</v>
      </c>
      <c r="G10" s="11" t="s">
        <v>120</v>
      </c>
      <c r="H10" s="11" t="s">
        <v>121</v>
      </c>
      <c r="I10" s="11" t="s">
        <v>122</v>
      </c>
      <c r="J10" s="11" t="s">
        <v>123</v>
      </c>
      <c r="K10" s="11" t="s">
        <v>124</v>
      </c>
      <c r="L10" s="11" t="s">
        <v>125</v>
      </c>
      <c r="M10" s="14" t="s">
        <v>126</v>
      </c>
      <c r="N10" s="14" t="s">
        <v>81</v>
      </c>
      <c r="O10" s="14" t="s">
        <v>55</v>
      </c>
      <c r="P10" s="14" t="s">
        <v>56</v>
      </c>
      <c r="Q10" s="14" t="s">
        <v>57</v>
      </c>
      <c r="R10" s="14" t="s">
        <v>58</v>
      </c>
      <c r="S10" s="14" t="s">
        <v>59</v>
      </c>
      <c r="T10" s="14" t="s">
        <v>63</v>
      </c>
      <c r="U10" s="14" t="s">
        <v>64</v>
      </c>
      <c r="V10" s="14" t="s">
        <v>65</v>
      </c>
      <c r="W10" s="14" t="s">
        <v>66</v>
      </c>
      <c r="X10" s="55">
        <f t="shared" si="4"/>
        <v>234</v>
      </c>
      <c r="Y10" s="54">
        <v>0</v>
      </c>
      <c r="Z10" s="54">
        <v>0</v>
      </c>
      <c r="AA10" s="54">
        <v>0</v>
      </c>
      <c r="AB10" s="54">
        <v>0</v>
      </c>
      <c r="AC10" s="54">
        <v>0</v>
      </c>
      <c r="AD10" s="54">
        <v>0</v>
      </c>
      <c r="AE10" s="54">
        <v>0</v>
      </c>
      <c r="AF10" s="54">
        <v>0</v>
      </c>
      <c r="AG10" s="54">
        <v>0</v>
      </c>
      <c r="AH10" s="54">
        <v>0</v>
      </c>
      <c r="AI10" s="54">
        <v>0</v>
      </c>
      <c r="AJ10" s="54">
        <v>0</v>
      </c>
      <c r="AK10" s="54">
        <v>0</v>
      </c>
      <c r="AL10" s="54">
        <v>0</v>
      </c>
      <c r="AM10" s="54">
        <v>0</v>
      </c>
      <c r="AN10" s="54">
        <v>0</v>
      </c>
      <c r="AO10" s="54">
        <v>0</v>
      </c>
      <c r="AP10" s="54">
        <v>0</v>
      </c>
      <c r="AQ10" s="54">
        <v>0</v>
      </c>
      <c r="AR10" s="54">
        <v>0</v>
      </c>
      <c r="AS10" s="54">
        <v>0</v>
      </c>
      <c r="AT10" s="54">
        <v>0</v>
      </c>
      <c r="AU10" s="54">
        <v>0</v>
      </c>
      <c r="AV10" s="54">
        <v>0</v>
      </c>
      <c r="AW10" s="54">
        <v>0</v>
      </c>
      <c r="AX10" s="54">
        <v>3</v>
      </c>
      <c r="AY10" s="54">
        <v>3</v>
      </c>
      <c r="AZ10" s="54">
        <v>3</v>
      </c>
      <c r="BA10" s="54">
        <v>6</v>
      </c>
      <c r="BB10" s="54">
        <v>6</v>
      </c>
      <c r="BC10" s="54">
        <v>6</v>
      </c>
      <c r="BD10" s="54">
        <v>10</v>
      </c>
      <c r="BE10" s="54">
        <v>10</v>
      </c>
      <c r="BF10" s="54">
        <v>10</v>
      </c>
      <c r="BG10" s="54">
        <v>20</v>
      </c>
      <c r="BH10" s="54">
        <v>20</v>
      </c>
      <c r="BI10" s="54">
        <v>20</v>
      </c>
      <c r="BJ10" s="54">
        <v>20</v>
      </c>
      <c r="BK10" s="54">
        <v>20</v>
      </c>
      <c r="BL10" s="54">
        <v>20</v>
      </c>
      <c r="BM10" s="54">
        <v>10</v>
      </c>
      <c r="BN10" s="54">
        <v>10</v>
      </c>
      <c r="BO10" s="54">
        <v>10</v>
      </c>
      <c r="BP10" s="54">
        <v>6</v>
      </c>
      <c r="BQ10" s="54">
        <v>6</v>
      </c>
      <c r="BR10" s="54">
        <v>6</v>
      </c>
      <c r="BS10" s="54">
        <v>3</v>
      </c>
      <c r="BT10" s="54">
        <v>3</v>
      </c>
      <c r="BU10" s="54">
        <v>3</v>
      </c>
      <c r="BV10" s="54">
        <v>0</v>
      </c>
      <c r="BW10" s="54">
        <v>0</v>
      </c>
      <c r="BX10" s="54">
        <v>0</v>
      </c>
      <c r="BY10" s="54">
        <v>0</v>
      </c>
      <c r="BZ10" s="54">
        <v>0</v>
      </c>
      <c r="CA10" s="54">
        <v>0</v>
      </c>
      <c r="CB10" s="54">
        <v>0</v>
      </c>
      <c r="CC10" s="54">
        <v>0</v>
      </c>
      <c r="CD10" s="54">
        <v>0</v>
      </c>
      <c r="CE10" s="54">
        <v>0</v>
      </c>
      <c r="CF10" s="54">
        <v>0</v>
      </c>
      <c r="CG10" s="54">
        <v>0</v>
      </c>
      <c r="CH10" s="54">
        <v>0</v>
      </c>
      <c r="CI10" s="54">
        <v>0</v>
      </c>
      <c r="CJ10" s="54">
        <v>0</v>
      </c>
      <c r="CK10" s="54">
        <v>0</v>
      </c>
      <c r="CL10" s="54">
        <v>0</v>
      </c>
      <c r="CM10" s="54">
        <v>0</v>
      </c>
      <c r="CN10" s="54">
        <v>0</v>
      </c>
      <c r="CO10" s="54">
        <v>0</v>
      </c>
      <c r="CP10" s="54">
        <v>0</v>
      </c>
      <c r="CQ10" s="54">
        <v>0</v>
      </c>
      <c r="CR10" s="54">
        <v>0</v>
      </c>
      <c r="CS10" s="54">
        <v>0</v>
      </c>
    </row>
    <row r="11" spans="1:97" ht="18" customHeight="1" x14ac:dyDescent="0.2">
      <c r="A11" s="11">
        <v>6</v>
      </c>
      <c r="B11" s="11" t="s">
        <v>127</v>
      </c>
      <c r="C11" s="11" t="s">
        <v>128</v>
      </c>
      <c r="D11" s="11" t="s">
        <v>129</v>
      </c>
      <c r="E11" s="11" t="s">
        <v>130</v>
      </c>
      <c r="F11" s="11" t="s">
        <v>131</v>
      </c>
      <c r="G11" s="11" t="s">
        <v>132</v>
      </c>
      <c r="H11" s="11" t="s">
        <v>133</v>
      </c>
      <c r="I11" s="11" t="s">
        <v>134</v>
      </c>
      <c r="J11" s="11" t="s">
        <v>135</v>
      </c>
      <c r="K11" s="11" t="s">
        <v>136</v>
      </c>
      <c r="L11" s="11" t="s">
        <v>137</v>
      </c>
      <c r="M11" s="14" t="s">
        <v>138</v>
      </c>
      <c r="N11" s="14" t="s">
        <v>81</v>
      </c>
      <c r="O11" s="14" t="s">
        <v>55</v>
      </c>
      <c r="P11" s="14" t="s">
        <v>56</v>
      </c>
      <c r="Q11" s="14" t="s">
        <v>57</v>
      </c>
      <c r="R11" s="14" t="s">
        <v>58</v>
      </c>
      <c r="S11" s="14" t="s">
        <v>59</v>
      </c>
      <c r="T11" s="14" t="s">
        <v>63</v>
      </c>
      <c r="U11" s="14" t="s">
        <v>64</v>
      </c>
      <c r="V11" s="14" t="s">
        <v>65</v>
      </c>
      <c r="W11" s="14" t="s">
        <v>66</v>
      </c>
      <c r="X11" s="55">
        <f t="shared" si="4"/>
        <v>234</v>
      </c>
      <c r="Y11" s="54">
        <v>0</v>
      </c>
      <c r="Z11" s="54">
        <v>0</v>
      </c>
      <c r="AA11" s="54">
        <v>0</v>
      </c>
      <c r="AB11" s="54">
        <v>0</v>
      </c>
      <c r="AC11" s="54">
        <v>0</v>
      </c>
      <c r="AD11" s="54">
        <v>0</v>
      </c>
      <c r="AE11" s="54">
        <v>0</v>
      </c>
      <c r="AF11" s="54">
        <v>0</v>
      </c>
      <c r="AG11" s="54">
        <v>0</v>
      </c>
      <c r="AH11" s="54">
        <v>0</v>
      </c>
      <c r="AI11" s="54">
        <v>0</v>
      </c>
      <c r="AJ11" s="54">
        <v>0</v>
      </c>
      <c r="AK11" s="54">
        <v>0</v>
      </c>
      <c r="AL11" s="54">
        <v>0</v>
      </c>
      <c r="AM11" s="54">
        <v>0</v>
      </c>
      <c r="AN11" s="54">
        <v>0</v>
      </c>
      <c r="AO11" s="54">
        <v>0</v>
      </c>
      <c r="AP11" s="54">
        <v>0</v>
      </c>
      <c r="AQ11" s="54">
        <v>0</v>
      </c>
      <c r="AR11" s="54">
        <v>0</v>
      </c>
      <c r="AS11" s="54">
        <v>0</v>
      </c>
      <c r="AT11" s="54">
        <v>0</v>
      </c>
      <c r="AU11" s="54">
        <v>0</v>
      </c>
      <c r="AV11" s="54">
        <v>0</v>
      </c>
      <c r="AW11" s="54">
        <v>0</v>
      </c>
      <c r="AX11" s="54">
        <v>3</v>
      </c>
      <c r="AY11" s="54">
        <v>3</v>
      </c>
      <c r="AZ11" s="54">
        <v>3</v>
      </c>
      <c r="BA11" s="54">
        <v>6</v>
      </c>
      <c r="BB11" s="54">
        <v>6</v>
      </c>
      <c r="BC11" s="54">
        <v>6</v>
      </c>
      <c r="BD11" s="54">
        <v>10</v>
      </c>
      <c r="BE11" s="54">
        <v>10</v>
      </c>
      <c r="BF11" s="54">
        <v>10</v>
      </c>
      <c r="BG11" s="54">
        <v>20</v>
      </c>
      <c r="BH11" s="54">
        <v>20</v>
      </c>
      <c r="BI11" s="54">
        <v>20</v>
      </c>
      <c r="BJ11" s="54">
        <v>20</v>
      </c>
      <c r="BK11" s="54">
        <v>20</v>
      </c>
      <c r="BL11" s="54">
        <v>20</v>
      </c>
      <c r="BM11" s="54">
        <v>10</v>
      </c>
      <c r="BN11" s="54">
        <v>10</v>
      </c>
      <c r="BO11" s="54">
        <v>10</v>
      </c>
      <c r="BP11" s="54">
        <v>6</v>
      </c>
      <c r="BQ11" s="54">
        <v>6</v>
      </c>
      <c r="BR11" s="54">
        <v>6</v>
      </c>
      <c r="BS11" s="54">
        <v>3</v>
      </c>
      <c r="BT11" s="54">
        <v>3</v>
      </c>
      <c r="BU11" s="54">
        <v>3</v>
      </c>
      <c r="BV11" s="54">
        <v>0</v>
      </c>
      <c r="BW11" s="54">
        <v>0</v>
      </c>
      <c r="BX11" s="54">
        <v>0</v>
      </c>
      <c r="BY11" s="54">
        <v>0</v>
      </c>
      <c r="BZ11" s="54">
        <v>0</v>
      </c>
      <c r="CA11" s="54">
        <v>0</v>
      </c>
      <c r="CB11" s="54">
        <v>0</v>
      </c>
      <c r="CC11" s="54">
        <v>0</v>
      </c>
      <c r="CD11" s="54">
        <v>0</v>
      </c>
      <c r="CE11" s="54">
        <v>0</v>
      </c>
      <c r="CF11" s="54">
        <v>0</v>
      </c>
      <c r="CG11" s="54">
        <v>0</v>
      </c>
      <c r="CH11" s="54">
        <v>0</v>
      </c>
      <c r="CI11" s="54">
        <v>0</v>
      </c>
      <c r="CJ11" s="54">
        <v>0</v>
      </c>
      <c r="CK11" s="54">
        <v>0</v>
      </c>
      <c r="CL11" s="54">
        <v>0</v>
      </c>
      <c r="CM11" s="54">
        <v>0</v>
      </c>
      <c r="CN11" s="54">
        <v>0</v>
      </c>
      <c r="CO11" s="54">
        <v>0</v>
      </c>
      <c r="CP11" s="54">
        <v>0</v>
      </c>
      <c r="CQ11" s="54">
        <v>0</v>
      </c>
      <c r="CR11" s="54">
        <v>0</v>
      </c>
      <c r="CS11" s="54">
        <v>0</v>
      </c>
    </row>
    <row r="12" spans="1:97" ht="18" customHeight="1" x14ac:dyDescent="0.2">
      <c r="A12" s="11">
        <v>7</v>
      </c>
      <c r="B12" s="11" t="s">
        <v>139</v>
      </c>
      <c r="C12" s="11" t="s">
        <v>140</v>
      </c>
      <c r="D12" s="11" t="s">
        <v>141</v>
      </c>
      <c r="E12" s="11" t="s">
        <v>142</v>
      </c>
      <c r="F12" s="11" t="s">
        <v>143</v>
      </c>
      <c r="G12" s="11" t="s">
        <v>144</v>
      </c>
      <c r="H12" s="11" t="s">
        <v>145</v>
      </c>
      <c r="I12" s="11" t="s">
        <v>146</v>
      </c>
      <c r="J12" s="11" t="s">
        <v>147</v>
      </c>
      <c r="K12" s="11" t="s">
        <v>148</v>
      </c>
      <c r="L12" s="11" t="s">
        <v>149</v>
      </c>
      <c r="M12" s="14" t="s">
        <v>150</v>
      </c>
      <c r="N12" s="14" t="s">
        <v>81</v>
      </c>
      <c r="O12" s="14" t="s">
        <v>55</v>
      </c>
      <c r="P12" s="14" t="s">
        <v>56</v>
      </c>
      <c r="Q12" s="14" t="s">
        <v>57</v>
      </c>
      <c r="R12" s="14" t="s">
        <v>58</v>
      </c>
      <c r="S12" s="14" t="s">
        <v>59</v>
      </c>
      <c r="T12" s="14" t="s">
        <v>63</v>
      </c>
      <c r="U12" s="14" t="s">
        <v>64</v>
      </c>
      <c r="V12" s="14" t="s">
        <v>65</v>
      </c>
      <c r="W12" s="14" t="s">
        <v>66</v>
      </c>
      <c r="X12" s="55">
        <f t="shared" si="4"/>
        <v>234</v>
      </c>
      <c r="Y12" s="54">
        <v>0</v>
      </c>
      <c r="Z12" s="54">
        <v>0</v>
      </c>
      <c r="AA12" s="54">
        <v>0</v>
      </c>
      <c r="AB12" s="54">
        <v>0</v>
      </c>
      <c r="AC12" s="54">
        <v>0</v>
      </c>
      <c r="AD12" s="54">
        <v>0</v>
      </c>
      <c r="AE12" s="54">
        <v>0</v>
      </c>
      <c r="AF12" s="54">
        <v>0</v>
      </c>
      <c r="AG12" s="54">
        <v>0</v>
      </c>
      <c r="AH12" s="54">
        <v>0</v>
      </c>
      <c r="AI12" s="54">
        <v>0</v>
      </c>
      <c r="AJ12" s="54">
        <v>0</v>
      </c>
      <c r="AK12" s="54">
        <v>0</v>
      </c>
      <c r="AL12" s="54">
        <v>0</v>
      </c>
      <c r="AM12" s="54">
        <v>0</v>
      </c>
      <c r="AN12" s="54">
        <v>0</v>
      </c>
      <c r="AO12" s="54">
        <v>0</v>
      </c>
      <c r="AP12" s="54">
        <v>0</v>
      </c>
      <c r="AQ12" s="54">
        <v>0</v>
      </c>
      <c r="AR12" s="54">
        <v>0</v>
      </c>
      <c r="AS12" s="54">
        <v>0</v>
      </c>
      <c r="AT12" s="54">
        <v>0</v>
      </c>
      <c r="AU12" s="54">
        <v>0</v>
      </c>
      <c r="AV12" s="54">
        <v>0</v>
      </c>
      <c r="AW12" s="54">
        <v>0</v>
      </c>
      <c r="AX12" s="54">
        <v>3</v>
      </c>
      <c r="AY12" s="54">
        <v>3</v>
      </c>
      <c r="AZ12" s="54">
        <v>3</v>
      </c>
      <c r="BA12" s="54">
        <v>6</v>
      </c>
      <c r="BB12" s="54">
        <v>6</v>
      </c>
      <c r="BC12" s="54">
        <v>6</v>
      </c>
      <c r="BD12" s="54">
        <v>10</v>
      </c>
      <c r="BE12" s="54">
        <v>10</v>
      </c>
      <c r="BF12" s="54">
        <v>10</v>
      </c>
      <c r="BG12" s="54">
        <v>20</v>
      </c>
      <c r="BH12" s="54">
        <v>20</v>
      </c>
      <c r="BI12" s="54">
        <v>20</v>
      </c>
      <c r="BJ12" s="54">
        <v>20</v>
      </c>
      <c r="BK12" s="54">
        <v>20</v>
      </c>
      <c r="BL12" s="54">
        <v>20</v>
      </c>
      <c r="BM12" s="54">
        <v>10</v>
      </c>
      <c r="BN12" s="54">
        <v>10</v>
      </c>
      <c r="BO12" s="54">
        <v>10</v>
      </c>
      <c r="BP12" s="54">
        <v>6</v>
      </c>
      <c r="BQ12" s="54">
        <v>6</v>
      </c>
      <c r="BR12" s="54">
        <v>6</v>
      </c>
      <c r="BS12" s="54">
        <v>3</v>
      </c>
      <c r="BT12" s="54">
        <v>3</v>
      </c>
      <c r="BU12" s="54">
        <v>3</v>
      </c>
      <c r="BV12" s="54">
        <v>0</v>
      </c>
      <c r="BW12" s="54">
        <v>0</v>
      </c>
      <c r="BX12" s="54">
        <v>0</v>
      </c>
      <c r="BY12" s="54">
        <v>0</v>
      </c>
      <c r="BZ12" s="54">
        <v>0</v>
      </c>
      <c r="CA12" s="54">
        <v>0</v>
      </c>
      <c r="CB12" s="54">
        <v>0</v>
      </c>
      <c r="CC12" s="54">
        <v>0</v>
      </c>
      <c r="CD12" s="54">
        <v>0</v>
      </c>
      <c r="CE12" s="54">
        <v>0</v>
      </c>
      <c r="CF12" s="54">
        <v>0</v>
      </c>
      <c r="CG12" s="54">
        <v>0</v>
      </c>
      <c r="CH12" s="54">
        <v>0</v>
      </c>
      <c r="CI12" s="54">
        <v>0</v>
      </c>
      <c r="CJ12" s="54">
        <v>0</v>
      </c>
      <c r="CK12" s="54">
        <v>0</v>
      </c>
      <c r="CL12" s="54">
        <v>0</v>
      </c>
      <c r="CM12" s="54">
        <v>0</v>
      </c>
      <c r="CN12" s="54">
        <v>0</v>
      </c>
      <c r="CO12" s="54">
        <v>0</v>
      </c>
      <c r="CP12" s="54">
        <v>0</v>
      </c>
      <c r="CQ12" s="54">
        <v>0</v>
      </c>
      <c r="CR12" s="54">
        <v>0</v>
      </c>
      <c r="CS12" s="54">
        <v>0</v>
      </c>
    </row>
    <row r="13" spans="1:97" ht="18" customHeight="1" x14ac:dyDescent="0.2">
      <c r="A13" s="11">
        <v>8</v>
      </c>
      <c r="B13" s="11" t="s">
        <v>151</v>
      </c>
      <c r="C13" s="11" t="s">
        <v>152</v>
      </c>
      <c r="D13" s="11" t="s">
        <v>153</v>
      </c>
      <c r="E13" s="11" t="s">
        <v>154</v>
      </c>
      <c r="F13" s="11" t="s">
        <v>155</v>
      </c>
      <c r="G13" s="11" t="s">
        <v>156</v>
      </c>
      <c r="H13" s="11" t="s">
        <v>157</v>
      </c>
      <c r="I13" s="11" t="s">
        <v>158</v>
      </c>
      <c r="J13" s="11" t="s">
        <v>159</v>
      </c>
      <c r="K13" s="11" t="s">
        <v>160</v>
      </c>
      <c r="L13" s="11" t="s">
        <v>161</v>
      </c>
      <c r="M13" s="14" t="s">
        <v>162</v>
      </c>
      <c r="N13" s="14" t="s">
        <v>81</v>
      </c>
      <c r="O13" s="14" t="s">
        <v>55</v>
      </c>
      <c r="P13" s="14" t="s">
        <v>56</v>
      </c>
      <c r="Q13" s="14" t="s">
        <v>57</v>
      </c>
      <c r="R13" s="14" t="s">
        <v>58</v>
      </c>
      <c r="S13" s="14" t="s">
        <v>59</v>
      </c>
      <c r="T13" s="14" t="s">
        <v>63</v>
      </c>
      <c r="U13" s="14" t="s">
        <v>64</v>
      </c>
      <c r="V13" s="14" t="s">
        <v>65</v>
      </c>
      <c r="W13" s="14" t="s">
        <v>66</v>
      </c>
      <c r="X13" s="55">
        <f t="shared" si="4"/>
        <v>234</v>
      </c>
      <c r="Y13" s="54">
        <v>0</v>
      </c>
      <c r="Z13" s="54">
        <v>0</v>
      </c>
      <c r="AA13" s="54">
        <v>0</v>
      </c>
      <c r="AB13" s="54">
        <v>0</v>
      </c>
      <c r="AC13" s="54">
        <v>0</v>
      </c>
      <c r="AD13" s="54">
        <v>0</v>
      </c>
      <c r="AE13" s="54">
        <v>0</v>
      </c>
      <c r="AF13" s="54">
        <v>0</v>
      </c>
      <c r="AG13" s="54">
        <v>0</v>
      </c>
      <c r="AH13" s="54">
        <v>0</v>
      </c>
      <c r="AI13" s="54">
        <v>0</v>
      </c>
      <c r="AJ13" s="54">
        <v>0</v>
      </c>
      <c r="AK13" s="54">
        <v>0</v>
      </c>
      <c r="AL13" s="54">
        <v>0</v>
      </c>
      <c r="AM13" s="54">
        <v>0</v>
      </c>
      <c r="AN13" s="54">
        <v>0</v>
      </c>
      <c r="AO13" s="54">
        <v>0</v>
      </c>
      <c r="AP13" s="54">
        <v>0</v>
      </c>
      <c r="AQ13" s="54">
        <v>0</v>
      </c>
      <c r="AR13" s="54">
        <v>0</v>
      </c>
      <c r="AS13" s="54">
        <v>0</v>
      </c>
      <c r="AT13" s="54">
        <v>0</v>
      </c>
      <c r="AU13" s="54">
        <v>0</v>
      </c>
      <c r="AV13" s="54">
        <v>0</v>
      </c>
      <c r="AW13" s="54">
        <v>0</v>
      </c>
      <c r="AX13" s="54">
        <v>3</v>
      </c>
      <c r="AY13" s="54">
        <v>3</v>
      </c>
      <c r="AZ13" s="54">
        <v>3</v>
      </c>
      <c r="BA13" s="54">
        <v>6</v>
      </c>
      <c r="BB13" s="54">
        <v>6</v>
      </c>
      <c r="BC13" s="54">
        <v>6</v>
      </c>
      <c r="BD13" s="54">
        <v>10</v>
      </c>
      <c r="BE13" s="54">
        <v>10</v>
      </c>
      <c r="BF13" s="54">
        <v>10</v>
      </c>
      <c r="BG13" s="54">
        <v>20</v>
      </c>
      <c r="BH13" s="54">
        <v>20</v>
      </c>
      <c r="BI13" s="54">
        <v>20</v>
      </c>
      <c r="BJ13" s="54">
        <v>20</v>
      </c>
      <c r="BK13" s="54">
        <v>20</v>
      </c>
      <c r="BL13" s="54">
        <v>20</v>
      </c>
      <c r="BM13" s="54">
        <v>10</v>
      </c>
      <c r="BN13" s="54">
        <v>10</v>
      </c>
      <c r="BO13" s="54">
        <v>10</v>
      </c>
      <c r="BP13" s="54">
        <v>6</v>
      </c>
      <c r="BQ13" s="54">
        <v>6</v>
      </c>
      <c r="BR13" s="54">
        <v>6</v>
      </c>
      <c r="BS13" s="54">
        <v>3</v>
      </c>
      <c r="BT13" s="54">
        <v>3</v>
      </c>
      <c r="BU13" s="54">
        <v>3</v>
      </c>
      <c r="BV13" s="54">
        <v>0</v>
      </c>
      <c r="BW13" s="54">
        <v>0</v>
      </c>
      <c r="BX13" s="54">
        <v>0</v>
      </c>
      <c r="BY13" s="54">
        <v>0</v>
      </c>
      <c r="BZ13" s="54">
        <v>0</v>
      </c>
      <c r="CA13" s="54">
        <v>0</v>
      </c>
      <c r="CB13" s="54">
        <v>0</v>
      </c>
      <c r="CC13" s="54">
        <v>0</v>
      </c>
      <c r="CD13" s="54">
        <v>0</v>
      </c>
      <c r="CE13" s="54">
        <v>0</v>
      </c>
      <c r="CF13" s="54">
        <v>0</v>
      </c>
      <c r="CG13" s="54">
        <v>0</v>
      </c>
      <c r="CH13" s="54">
        <v>0</v>
      </c>
      <c r="CI13" s="54">
        <v>0</v>
      </c>
      <c r="CJ13" s="54">
        <v>0</v>
      </c>
      <c r="CK13" s="54">
        <v>0</v>
      </c>
      <c r="CL13" s="54">
        <v>0</v>
      </c>
      <c r="CM13" s="54">
        <v>0</v>
      </c>
      <c r="CN13" s="54">
        <v>0</v>
      </c>
      <c r="CO13" s="54">
        <v>0</v>
      </c>
      <c r="CP13" s="54">
        <v>0</v>
      </c>
      <c r="CQ13" s="54">
        <v>0</v>
      </c>
      <c r="CR13" s="54">
        <v>0</v>
      </c>
      <c r="CS13" s="54">
        <v>0</v>
      </c>
    </row>
    <row r="14" spans="1:97" ht="18" customHeight="1" x14ac:dyDescent="0.2">
      <c r="A14" s="11">
        <v>9</v>
      </c>
      <c r="B14" s="11" t="s">
        <v>163</v>
      </c>
      <c r="C14" s="11" t="s">
        <v>164</v>
      </c>
      <c r="D14" s="11" t="s">
        <v>165</v>
      </c>
      <c r="E14" s="11" t="s">
        <v>166</v>
      </c>
      <c r="F14" s="11" t="s">
        <v>167</v>
      </c>
      <c r="G14" s="11" t="s">
        <v>168</v>
      </c>
      <c r="H14" s="11" t="s">
        <v>169</v>
      </c>
      <c r="I14" s="11" t="s">
        <v>170</v>
      </c>
      <c r="J14" s="11" t="s">
        <v>171</v>
      </c>
      <c r="K14" s="11" t="s">
        <v>172</v>
      </c>
      <c r="L14" s="11" t="s">
        <v>173</v>
      </c>
      <c r="M14" s="14" t="s">
        <v>174</v>
      </c>
      <c r="N14" s="14" t="s">
        <v>81</v>
      </c>
      <c r="O14" s="14" t="s">
        <v>55</v>
      </c>
      <c r="P14" s="14" t="s">
        <v>56</v>
      </c>
      <c r="Q14" s="14" t="s">
        <v>57</v>
      </c>
      <c r="R14" s="14" t="s">
        <v>58</v>
      </c>
      <c r="S14" s="14" t="s">
        <v>59</v>
      </c>
      <c r="T14" s="14" t="s">
        <v>63</v>
      </c>
      <c r="U14" s="14" t="s">
        <v>64</v>
      </c>
      <c r="V14" s="14" t="s">
        <v>65</v>
      </c>
      <c r="W14" s="14" t="s">
        <v>66</v>
      </c>
      <c r="X14" s="55">
        <f t="shared" si="4"/>
        <v>234</v>
      </c>
      <c r="Y14" s="54">
        <v>0</v>
      </c>
      <c r="Z14" s="54">
        <v>0</v>
      </c>
      <c r="AA14" s="54">
        <v>0</v>
      </c>
      <c r="AB14" s="54">
        <v>0</v>
      </c>
      <c r="AC14" s="54">
        <v>0</v>
      </c>
      <c r="AD14" s="54">
        <v>0</v>
      </c>
      <c r="AE14" s="54">
        <v>0</v>
      </c>
      <c r="AF14" s="54">
        <v>0</v>
      </c>
      <c r="AG14" s="54">
        <v>0</v>
      </c>
      <c r="AH14" s="54">
        <v>0</v>
      </c>
      <c r="AI14" s="54">
        <v>0</v>
      </c>
      <c r="AJ14" s="54">
        <v>0</v>
      </c>
      <c r="AK14" s="54">
        <v>0</v>
      </c>
      <c r="AL14" s="54">
        <v>0</v>
      </c>
      <c r="AM14" s="54">
        <v>0</v>
      </c>
      <c r="AN14" s="54">
        <v>0</v>
      </c>
      <c r="AO14" s="54">
        <v>0</v>
      </c>
      <c r="AP14" s="54">
        <v>0</v>
      </c>
      <c r="AQ14" s="54">
        <v>0</v>
      </c>
      <c r="AR14" s="54">
        <v>0</v>
      </c>
      <c r="AS14" s="54">
        <v>0</v>
      </c>
      <c r="AT14" s="54">
        <v>0</v>
      </c>
      <c r="AU14" s="54">
        <v>0</v>
      </c>
      <c r="AV14" s="54">
        <v>0</v>
      </c>
      <c r="AW14" s="54">
        <v>0</v>
      </c>
      <c r="AX14" s="54">
        <v>3</v>
      </c>
      <c r="AY14" s="54">
        <v>3</v>
      </c>
      <c r="AZ14" s="54">
        <v>3</v>
      </c>
      <c r="BA14" s="54">
        <v>6</v>
      </c>
      <c r="BB14" s="54">
        <v>6</v>
      </c>
      <c r="BC14" s="54">
        <v>6</v>
      </c>
      <c r="BD14" s="54">
        <v>10</v>
      </c>
      <c r="BE14" s="54">
        <v>10</v>
      </c>
      <c r="BF14" s="54">
        <v>10</v>
      </c>
      <c r="BG14" s="54">
        <v>20</v>
      </c>
      <c r="BH14" s="54">
        <v>20</v>
      </c>
      <c r="BI14" s="54">
        <v>20</v>
      </c>
      <c r="BJ14" s="54">
        <v>20</v>
      </c>
      <c r="BK14" s="54">
        <v>20</v>
      </c>
      <c r="BL14" s="54">
        <v>20</v>
      </c>
      <c r="BM14" s="54">
        <v>10</v>
      </c>
      <c r="BN14" s="54">
        <v>10</v>
      </c>
      <c r="BO14" s="54">
        <v>10</v>
      </c>
      <c r="BP14" s="54">
        <v>6</v>
      </c>
      <c r="BQ14" s="54">
        <v>6</v>
      </c>
      <c r="BR14" s="54">
        <v>6</v>
      </c>
      <c r="BS14" s="54">
        <v>3</v>
      </c>
      <c r="BT14" s="54">
        <v>3</v>
      </c>
      <c r="BU14" s="54">
        <v>3</v>
      </c>
      <c r="BV14" s="54">
        <v>0</v>
      </c>
      <c r="BW14" s="54">
        <v>0</v>
      </c>
      <c r="BX14" s="54">
        <v>0</v>
      </c>
      <c r="BY14" s="54">
        <v>0</v>
      </c>
      <c r="BZ14" s="54">
        <v>0</v>
      </c>
      <c r="CA14" s="54">
        <v>0</v>
      </c>
      <c r="CB14" s="54">
        <v>0</v>
      </c>
      <c r="CC14" s="54">
        <v>0</v>
      </c>
      <c r="CD14" s="54">
        <v>0</v>
      </c>
      <c r="CE14" s="54">
        <v>0</v>
      </c>
      <c r="CF14" s="54">
        <v>0</v>
      </c>
      <c r="CG14" s="54">
        <v>0</v>
      </c>
      <c r="CH14" s="54">
        <v>0</v>
      </c>
      <c r="CI14" s="54">
        <v>0</v>
      </c>
      <c r="CJ14" s="54">
        <v>0</v>
      </c>
      <c r="CK14" s="54">
        <v>0</v>
      </c>
      <c r="CL14" s="54">
        <v>0</v>
      </c>
      <c r="CM14" s="54">
        <v>0</v>
      </c>
      <c r="CN14" s="54">
        <v>0</v>
      </c>
      <c r="CO14" s="54">
        <v>0</v>
      </c>
      <c r="CP14" s="54">
        <v>0</v>
      </c>
      <c r="CQ14" s="54">
        <v>0</v>
      </c>
      <c r="CR14" s="54">
        <v>0</v>
      </c>
      <c r="CS14" s="54">
        <v>0</v>
      </c>
    </row>
    <row r="15" spans="1:97" ht="18" customHeight="1" x14ac:dyDescent="0.2">
      <c r="A15" s="11">
        <v>10</v>
      </c>
      <c r="B15" s="11" t="s">
        <v>175</v>
      </c>
      <c r="C15" s="11" t="s">
        <v>176</v>
      </c>
      <c r="D15" s="11" t="s">
        <v>177</v>
      </c>
      <c r="E15" s="11" t="s">
        <v>178</v>
      </c>
      <c r="F15" s="11" t="s">
        <v>179</v>
      </c>
      <c r="G15" s="11" t="s">
        <v>180</v>
      </c>
      <c r="H15" s="11" t="s">
        <v>181</v>
      </c>
      <c r="I15" s="11" t="s">
        <v>182</v>
      </c>
      <c r="J15" s="11" t="s">
        <v>183</v>
      </c>
      <c r="K15" s="11" t="s">
        <v>184</v>
      </c>
      <c r="L15" s="11" t="s">
        <v>185</v>
      </c>
      <c r="M15" s="14" t="s">
        <v>186</v>
      </c>
      <c r="N15" s="14" t="s">
        <v>81</v>
      </c>
      <c r="O15" s="14" t="s">
        <v>55</v>
      </c>
      <c r="P15" s="14" t="s">
        <v>56</v>
      </c>
      <c r="Q15" s="14" t="s">
        <v>57</v>
      </c>
      <c r="R15" s="14" t="s">
        <v>58</v>
      </c>
      <c r="S15" s="14" t="s">
        <v>59</v>
      </c>
      <c r="T15" s="14" t="s">
        <v>63</v>
      </c>
      <c r="U15" s="14" t="s">
        <v>64</v>
      </c>
      <c r="V15" s="14" t="s">
        <v>65</v>
      </c>
      <c r="W15" s="14" t="s">
        <v>66</v>
      </c>
      <c r="X15" s="55">
        <f t="shared" si="4"/>
        <v>234</v>
      </c>
      <c r="Y15" s="54">
        <v>0</v>
      </c>
      <c r="Z15" s="54">
        <v>0</v>
      </c>
      <c r="AA15" s="54">
        <v>0</v>
      </c>
      <c r="AB15" s="54">
        <v>0</v>
      </c>
      <c r="AC15" s="54">
        <v>0</v>
      </c>
      <c r="AD15" s="54">
        <v>0</v>
      </c>
      <c r="AE15" s="54">
        <v>0</v>
      </c>
      <c r="AF15" s="54">
        <v>0</v>
      </c>
      <c r="AG15" s="54">
        <v>0</v>
      </c>
      <c r="AH15" s="54">
        <v>0</v>
      </c>
      <c r="AI15" s="54">
        <v>0</v>
      </c>
      <c r="AJ15" s="54">
        <v>0</v>
      </c>
      <c r="AK15" s="54">
        <v>0</v>
      </c>
      <c r="AL15" s="54">
        <v>0</v>
      </c>
      <c r="AM15" s="54">
        <v>0</v>
      </c>
      <c r="AN15" s="54">
        <v>0</v>
      </c>
      <c r="AO15" s="54">
        <v>0</v>
      </c>
      <c r="AP15" s="54">
        <v>0</v>
      </c>
      <c r="AQ15" s="54">
        <v>0</v>
      </c>
      <c r="AR15" s="54">
        <v>0</v>
      </c>
      <c r="AS15" s="54">
        <v>0</v>
      </c>
      <c r="AT15" s="54">
        <v>0</v>
      </c>
      <c r="AU15" s="54">
        <v>0</v>
      </c>
      <c r="AV15" s="54">
        <v>0</v>
      </c>
      <c r="AW15" s="54">
        <v>0</v>
      </c>
      <c r="AX15" s="54">
        <v>3</v>
      </c>
      <c r="AY15" s="54">
        <v>3</v>
      </c>
      <c r="AZ15" s="54">
        <v>3</v>
      </c>
      <c r="BA15" s="54">
        <v>6</v>
      </c>
      <c r="BB15" s="54">
        <v>6</v>
      </c>
      <c r="BC15" s="54">
        <v>6</v>
      </c>
      <c r="BD15" s="54">
        <v>10</v>
      </c>
      <c r="BE15" s="54">
        <v>10</v>
      </c>
      <c r="BF15" s="54">
        <v>10</v>
      </c>
      <c r="BG15" s="54">
        <v>20</v>
      </c>
      <c r="BH15" s="54">
        <v>20</v>
      </c>
      <c r="BI15" s="54">
        <v>20</v>
      </c>
      <c r="BJ15" s="54">
        <v>20</v>
      </c>
      <c r="BK15" s="54">
        <v>20</v>
      </c>
      <c r="BL15" s="54">
        <v>20</v>
      </c>
      <c r="BM15" s="54">
        <v>10</v>
      </c>
      <c r="BN15" s="54">
        <v>10</v>
      </c>
      <c r="BO15" s="54">
        <v>10</v>
      </c>
      <c r="BP15" s="54">
        <v>6</v>
      </c>
      <c r="BQ15" s="54">
        <v>6</v>
      </c>
      <c r="BR15" s="54">
        <v>6</v>
      </c>
      <c r="BS15" s="54">
        <v>3</v>
      </c>
      <c r="BT15" s="54">
        <v>3</v>
      </c>
      <c r="BU15" s="54">
        <v>3</v>
      </c>
      <c r="BV15" s="54">
        <v>0</v>
      </c>
      <c r="BW15" s="54">
        <v>0</v>
      </c>
      <c r="BX15" s="54">
        <v>0</v>
      </c>
      <c r="BY15" s="54">
        <v>0</v>
      </c>
      <c r="BZ15" s="54">
        <v>0</v>
      </c>
      <c r="CA15" s="54">
        <v>0</v>
      </c>
      <c r="CB15" s="54">
        <v>0</v>
      </c>
      <c r="CC15" s="54">
        <v>0</v>
      </c>
      <c r="CD15" s="54">
        <v>0</v>
      </c>
      <c r="CE15" s="54">
        <v>0</v>
      </c>
      <c r="CF15" s="54">
        <v>0</v>
      </c>
      <c r="CG15" s="54">
        <v>0</v>
      </c>
      <c r="CH15" s="54">
        <v>0</v>
      </c>
      <c r="CI15" s="54">
        <v>0</v>
      </c>
      <c r="CJ15" s="54">
        <v>0</v>
      </c>
      <c r="CK15" s="54">
        <v>0</v>
      </c>
      <c r="CL15" s="54">
        <v>0</v>
      </c>
      <c r="CM15" s="54">
        <v>0</v>
      </c>
      <c r="CN15" s="54">
        <v>0</v>
      </c>
      <c r="CO15" s="54">
        <v>0</v>
      </c>
      <c r="CP15" s="54">
        <v>0</v>
      </c>
      <c r="CQ15" s="54">
        <v>0</v>
      </c>
      <c r="CR15" s="54">
        <v>0</v>
      </c>
      <c r="CS15" s="54">
        <v>0</v>
      </c>
    </row>
    <row r="16" spans="1:97" ht="18" customHeight="1" x14ac:dyDescent="0.2">
      <c r="A16" s="11">
        <v>11</v>
      </c>
      <c r="B16" s="11" t="s">
        <v>187</v>
      </c>
      <c r="C16" s="11" t="s">
        <v>188</v>
      </c>
      <c r="D16" s="11" t="s">
        <v>189</v>
      </c>
      <c r="E16" s="11" t="s">
        <v>190</v>
      </c>
      <c r="F16" s="11" t="s">
        <v>191</v>
      </c>
      <c r="G16" s="11" t="s">
        <v>192</v>
      </c>
      <c r="H16" s="11" t="s">
        <v>193</v>
      </c>
      <c r="I16" s="11" t="s">
        <v>194</v>
      </c>
      <c r="J16" s="11" t="s">
        <v>195</v>
      </c>
      <c r="K16" s="11" t="s">
        <v>196</v>
      </c>
      <c r="L16" s="11" t="s">
        <v>197</v>
      </c>
      <c r="M16" s="14" t="s">
        <v>198</v>
      </c>
      <c r="N16" s="14" t="s">
        <v>81</v>
      </c>
      <c r="O16" s="14" t="s">
        <v>55</v>
      </c>
      <c r="P16" s="14" t="s">
        <v>56</v>
      </c>
      <c r="Q16" s="14" t="s">
        <v>57</v>
      </c>
      <c r="R16" s="14" t="s">
        <v>58</v>
      </c>
      <c r="S16" s="14" t="s">
        <v>59</v>
      </c>
      <c r="T16" s="14" t="s">
        <v>63</v>
      </c>
      <c r="U16" s="14" t="s">
        <v>64</v>
      </c>
      <c r="V16" s="14" t="s">
        <v>65</v>
      </c>
      <c r="W16" s="14" t="s">
        <v>66</v>
      </c>
      <c r="X16" s="55">
        <f t="shared" si="4"/>
        <v>234</v>
      </c>
      <c r="Y16" s="54">
        <v>0</v>
      </c>
      <c r="Z16" s="54">
        <v>0</v>
      </c>
      <c r="AA16" s="54">
        <v>0</v>
      </c>
      <c r="AB16" s="54">
        <v>0</v>
      </c>
      <c r="AC16" s="54">
        <v>0</v>
      </c>
      <c r="AD16" s="54">
        <v>0</v>
      </c>
      <c r="AE16" s="54">
        <v>0</v>
      </c>
      <c r="AF16" s="54">
        <v>0</v>
      </c>
      <c r="AG16" s="54">
        <v>0</v>
      </c>
      <c r="AH16" s="54">
        <v>0</v>
      </c>
      <c r="AI16" s="54">
        <v>0</v>
      </c>
      <c r="AJ16" s="54">
        <v>0</v>
      </c>
      <c r="AK16" s="54">
        <v>0</v>
      </c>
      <c r="AL16" s="54">
        <v>0</v>
      </c>
      <c r="AM16" s="54">
        <v>0</v>
      </c>
      <c r="AN16" s="54">
        <v>0</v>
      </c>
      <c r="AO16" s="54">
        <v>0</v>
      </c>
      <c r="AP16" s="54">
        <v>0</v>
      </c>
      <c r="AQ16" s="54">
        <v>0</v>
      </c>
      <c r="AR16" s="54">
        <v>0</v>
      </c>
      <c r="AS16" s="54">
        <v>0</v>
      </c>
      <c r="AT16" s="54">
        <v>0</v>
      </c>
      <c r="AU16" s="54">
        <v>0</v>
      </c>
      <c r="AV16" s="54">
        <v>0</v>
      </c>
      <c r="AW16" s="54">
        <v>0</v>
      </c>
      <c r="AX16" s="54">
        <v>3</v>
      </c>
      <c r="AY16" s="54">
        <v>3</v>
      </c>
      <c r="AZ16" s="54">
        <v>3</v>
      </c>
      <c r="BA16" s="54">
        <v>6</v>
      </c>
      <c r="BB16" s="54">
        <v>6</v>
      </c>
      <c r="BC16" s="54">
        <v>6</v>
      </c>
      <c r="BD16" s="54">
        <v>10</v>
      </c>
      <c r="BE16" s="54">
        <v>10</v>
      </c>
      <c r="BF16" s="54">
        <v>10</v>
      </c>
      <c r="BG16" s="54">
        <v>20</v>
      </c>
      <c r="BH16" s="54">
        <v>20</v>
      </c>
      <c r="BI16" s="54">
        <v>20</v>
      </c>
      <c r="BJ16" s="54">
        <v>20</v>
      </c>
      <c r="BK16" s="54">
        <v>20</v>
      </c>
      <c r="BL16" s="54">
        <v>20</v>
      </c>
      <c r="BM16" s="54">
        <v>10</v>
      </c>
      <c r="BN16" s="54">
        <v>10</v>
      </c>
      <c r="BO16" s="54">
        <v>10</v>
      </c>
      <c r="BP16" s="54">
        <v>6</v>
      </c>
      <c r="BQ16" s="54">
        <v>6</v>
      </c>
      <c r="BR16" s="54">
        <v>6</v>
      </c>
      <c r="BS16" s="54">
        <v>3</v>
      </c>
      <c r="BT16" s="54">
        <v>3</v>
      </c>
      <c r="BU16" s="54">
        <v>3</v>
      </c>
      <c r="BV16" s="54">
        <v>0</v>
      </c>
      <c r="BW16" s="54">
        <v>0</v>
      </c>
      <c r="BX16" s="54">
        <v>0</v>
      </c>
      <c r="BY16" s="54">
        <v>0</v>
      </c>
      <c r="BZ16" s="54">
        <v>0</v>
      </c>
      <c r="CA16" s="54">
        <v>0</v>
      </c>
      <c r="CB16" s="54">
        <v>0</v>
      </c>
      <c r="CC16" s="54">
        <v>0</v>
      </c>
      <c r="CD16" s="54">
        <v>0</v>
      </c>
      <c r="CE16" s="54">
        <v>0</v>
      </c>
      <c r="CF16" s="54">
        <v>0</v>
      </c>
      <c r="CG16" s="54">
        <v>0</v>
      </c>
      <c r="CH16" s="54">
        <v>0</v>
      </c>
      <c r="CI16" s="54">
        <v>0</v>
      </c>
      <c r="CJ16" s="54">
        <v>0</v>
      </c>
      <c r="CK16" s="54">
        <v>0</v>
      </c>
      <c r="CL16" s="54">
        <v>0</v>
      </c>
      <c r="CM16" s="54">
        <v>0</v>
      </c>
      <c r="CN16" s="54">
        <v>0</v>
      </c>
      <c r="CO16" s="54">
        <v>0</v>
      </c>
      <c r="CP16" s="54">
        <v>0</v>
      </c>
      <c r="CQ16" s="54">
        <v>0</v>
      </c>
      <c r="CR16" s="54">
        <v>0</v>
      </c>
      <c r="CS16" s="54">
        <v>0</v>
      </c>
    </row>
    <row r="17" spans="1:97" ht="18" customHeight="1" x14ac:dyDescent="0.2">
      <c r="A17" s="11">
        <v>12</v>
      </c>
      <c r="B17" s="11" t="s">
        <v>199</v>
      </c>
      <c r="C17" s="11" t="s">
        <v>200</v>
      </c>
      <c r="D17" s="11" t="s">
        <v>201</v>
      </c>
      <c r="E17" s="11" t="s">
        <v>202</v>
      </c>
      <c r="F17" s="11" t="s">
        <v>203</v>
      </c>
      <c r="G17" s="11" t="s">
        <v>204</v>
      </c>
      <c r="H17" s="11" t="s">
        <v>205</v>
      </c>
      <c r="I17" s="11" t="s">
        <v>206</v>
      </c>
      <c r="J17" s="11" t="s">
        <v>207</v>
      </c>
      <c r="K17" s="11" t="s">
        <v>208</v>
      </c>
      <c r="L17" s="11" t="s">
        <v>209</v>
      </c>
      <c r="M17" s="14" t="s">
        <v>210</v>
      </c>
      <c r="N17" s="14" t="s">
        <v>81</v>
      </c>
      <c r="O17" s="14" t="s">
        <v>55</v>
      </c>
      <c r="P17" s="14" t="s">
        <v>56</v>
      </c>
      <c r="Q17" s="14" t="s">
        <v>57</v>
      </c>
      <c r="R17" s="14" t="s">
        <v>58</v>
      </c>
      <c r="S17" s="14" t="s">
        <v>59</v>
      </c>
      <c r="T17" s="14" t="s">
        <v>63</v>
      </c>
      <c r="U17" s="14" t="s">
        <v>64</v>
      </c>
      <c r="V17" s="14" t="s">
        <v>65</v>
      </c>
      <c r="W17" s="14" t="s">
        <v>66</v>
      </c>
      <c r="X17" s="55">
        <f t="shared" si="4"/>
        <v>234</v>
      </c>
      <c r="Y17" s="54">
        <v>0</v>
      </c>
      <c r="Z17" s="54">
        <v>0</v>
      </c>
      <c r="AA17" s="54">
        <v>0</v>
      </c>
      <c r="AB17" s="54">
        <v>0</v>
      </c>
      <c r="AC17" s="54">
        <v>0</v>
      </c>
      <c r="AD17" s="54">
        <v>0</v>
      </c>
      <c r="AE17" s="54">
        <v>0</v>
      </c>
      <c r="AF17" s="54">
        <v>0</v>
      </c>
      <c r="AG17" s="54">
        <v>0</v>
      </c>
      <c r="AH17" s="54">
        <v>0</v>
      </c>
      <c r="AI17" s="54">
        <v>0</v>
      </c>
      <c r="AJ17" s="54">
        <v>0</v>
      </c>
      <c r="AK17" s="54">
        <v>0</v>
      </c>
      <c r="AL17" s="54">
        <v>0</v>
      </c>
      <c r="AM17" s="54">
        <v>0</v>
      </c>
      <c r="AN17" s="54">
        <v>0</v>
      </c>
      <c r="AO17" s="54">
        <v>0</v>
      </c>
      <c r="AP17" s="54">
        <v>0</v>
      </c>
      <c r="AQ17" s="54">
        <v>0</v>
      </c>
      <c r="AR17" s="54">
        <v>0</v>
      </c>
      <c r="AS17" s="54">
        <v>0</v>
      </c>
      <c r="AT17" s="54">
        <v>0</v>
      </c>
      <c r="AU17" s="54">
        <v>0</v>
      </c>
      <c r="AV17" s="54">
        <v>0</v>
      </c>
      <c r="AW17" s="54">
        <v>0</v>
      </c>
      <c r="AX17" s="54">
        <v>3</v>
      </c>
      <c r="AY17" s="54">
        <v>3</v>
      </c>
      <c r="AZ17" s="54">
        <v>3</v>
      </c>
      <c r="BA17" s="54">
        <v>6</v>
      </c>
      <c r="BB17" s="54">
        <v>6</v>
      </c>
      <c r="BC17" s="54">
        <v>6</v>
      </c>
      <c r="BD17" s="54">
        <v>10</v>
      </c>
      <c r="BE17" s="54">
        <v>10</v>
      </c>
      <c r="BF17" s="54">
        <v>10</v>
      </c>
      <c r="BG17" s="54">
        <v>20</v>
      </c>
      <c r="BH17" s="54">
        <v>20</v>
      </c>
      <c r="BI17" s="54">
        <v>20</v>
      </c>
      <c r="BJ17" s="54">
        <v>20</v>
      </c>
      <c r="BK17" s="54">
        <v>20</v>
      </c>
      <c r="BL17" s="54">
        <v>20</v>
      </c>
      <c r="BM17" s="54">
        <v>10</v>
      </c>
      <c r="BN17" s="54">
        <v>10</v>
      </c>
      <c r="BO17" s="54">
        <v>10</v>
      </c>
      <c r="BP17" s="54">
        <v>6</v>
      </c>
      <c r="BQ17" s="54">
        <v>6</v>
      </c>
      <c r="BR17" s="54">
        <v>6</v>
      </c>
      <c r="BS17" s="54">
        <v>3</v>
      </c>
      <c r="BT17" s="54">
        <v>3</v>
      </c>
      <c r="BU17" s="54">
        <v>3</v>
      </c>
      <c r="BV17" s="54">
        <v>0</v>
      </c>
      <c r="BW17" s="54">
        <v>0</v>
      </c>
      <c r="BX17" s="54">
        <v>0</v>
      </c>
      <c r="BY17" s="54">
        <v>0</v>
      </c>
      <c r="BZ17" s="54">
        <v>0</v>
      </c>
      <c r="CA17" s="54">
        <v>0</v>
      </c>
      <c r="CB17" s="54">
        <v>0</v>
      </c>
      <c r="CC17" s="54">
        <v>0</v>
      </c>
      <c r="CD17" s="54">
        <v>0</v>
      </c>
      <c r="CE17" s="54">
        <v>0</v>
      </c>
      <c r="CF17" s="54">
        <v>0</v>
      </c>
      <c r="CG17" s="54">
        <v>0</v>
      </c>
      <c r="CH17" s="54">
        <v>0</v>
      </c>
      <c r="CI17" s="54">
        <v>0</v>
      </c>
      <c r="CJ17" s="54">
        <v>0</v>
      </c>
      <c r="CK17" s="54">
        <v>0</v>
      </c>
      <c r="CL17" s="54">
        <v>0</v>
      </c>
      <c r="CM17" s="54">
        <v>0</v>
      </c>
      <c r="CN17" s="54">
        <v>0</v>
      </c>
      <c r="CO17" s="54">
        <v>0</v>
      </c>
      <c r="CP17" s="54">
        <v>0</v>
      </c>
      <c r="CQ17" s="54">
        <v>0</v>
      </c>
      <c r="CR17" s="54">
        <v>0</v>
      </c>
      <c r="CS17" s="54">
        <v>0</v>
      </c>
    </row>
    <row r="18" spans="1:97" ht="18" customHeight="1" x14ac:dyDescent="0.2">
      <c r="A18" s="11">
        <v>13</v>
      </c>
      <c r="B18" s="11" t="s">
        <v>211</v>
      </c>
      <c r="C18" s="11" t="s">
        <v>212</v>
      </c>
      <c r="D18" s="11" t="s">
        <v>213</v>
      </c>
      <c r="E18" s="11" t="s">
        <v>214</v>
      </c>
      <c r="F18" s="11" t="s">
        <v>215</v>
      </c>
      <c r="G18" s="11" t="s">
        <v>216</v>
      </c>
      <c r="H18" s="11" t="s">
        <v>217</v>
      </c>
      <c r="I18" s="11" t="s">
        <v>218</v>
      </c>
      <c r="J18" s="11" t="s">
        <v>219</v>
      </c>
      <c r="K18" s="11" t="s">
        <v>220</v>
      </c>
      <c r="L18" s="11" t="s">
        <v>221</v>
      </c>
      <c r="M18" s="14" t="s">
        <v>222</v>
      </c>
      <c r="N18" s="14" t="s">
        <v>81</v>
      </c>
      <c r="O18" s="14" t="s">
        <v>55</v>
      </c>
      <c r="P18" s="14" t="s">
        <v>56</v>
      </c>
      <c r="Q18" s="14" t="s">
        <v>57</v>
      </c>
      <c r="R18" s="14" t="s">
        <v>58</v>
      </c>
      <c r="S18" s="14" t="s">
        <v>59</v>
      </c>
      <c r="T18" s="14" t="s">
        <v>63</v>
      </c>
      <c r="U18" s="14" t="s">
        <v>64</v>
      </c>
      <c r="V18" s="14" t="s">
        <v>65</v>
      </c>
      <c r="W18" s="14" t="s">
        <v>66</v>
      </c>
      <c r="X18" s="55">
        <f t="shared" si="4"/>
        <v>234</v>
      </c>
      <c r="Y18" s="54">
        <v>0</v>
      </c>
      <c r="Z18" s="54">
        <v>0</v>
      </c>
      <c r="AA18" s="54">
        <v>0</v>
      </c>
      <c r="AB18" s="54">
        <v>0</v>
      </c>
      <c r="AC18" s="54">
        <v>0</v>
      </c>
      <c r="AD18" s="54">
        <v>0</v>
      </c>
      <c r="AE18" s="54">
        <v>0</v>
      </c>
      <c r="AF18" s="54">
        <v>0</v>
      </c>
      <c r="AG18" s="54">
        <v>0</v>
      </c>
      <c r="AH18" s="54">
        <v>0</v>
      </c>
      <c r="AI18" s="54">
        <v>0</v>
      </c>
      <c r="AJ18" s="54">
        <v>0</v>
      </c>
      <c r="AK18" s="54">
        <v>0</v>
      </c>
      <c r="AL18" s="54">
        <v>0</v>
      </c>
      <c r="AM18" s="54">
        <v>0</v>
      </c>
      <c r="AN18" s="54">
        <v>0</v>
      </c>
      <c r="AO18" s="54">
        <v>0</v>
      </c>
      <c r="AP18" s="54">
        <v>0</v>
      </c>
      <c r="AQ18" s="54">
        <v>0</v>
      </c>
      <c r="AR18" s="54">
        <v>0</v>
      </c>
      <c r="AS18" s="54">
        <v>0</v>
      </c>
      <c r="AT18" s="54">
        <v>0</v>
      </c>
      <c r="AU18" s="54">
        <v>0</v>
      </c>
      <c r="AV18" s="54">
        <v>0</v>
      </c>
      <c r="AW18" s="54">
        <v>0</v>
      </c>
      <c r="AX18" s="54">
        <v>3</v>
      </c>
      <c r="AY18" s="54">
        <v>3</v>
      </c>
      <c r="AZ18" s="54">
        <v>3</v>
      </c>
      <c r="BA18" s="54">
        <v>6</v>
      </c>
      <c r="BB18" s="54">
        <v>6</v>
      </c>
      <c r="BC18" s="54">
        <v>6</v>
      </c>
      <c r="BD18" s="54">
        <v>10</v>
      </c>
      <c r="BE18" s="54">
        <v>10</v>
      </c>
      <c r="BF18" s="54">
        <v>10</v>
      </c>
      <c r="BG18" s="54">
        <v>20</v>
      </c>
      <c r="BH18" s="54">
        <v>20</v>
      </c>
      <c r="BI18" s="54">
        <v>20</v>
      </c>
      <c r="BJ18" s="54">
        <v>20</v>
      </c>
      <c r="BK18" s="54">
        <v>20</v>
      </c>
      <c r="BL18" s="54">
        <v>20</v>
      </c>
      <c r="BM18" s="54">
        <v>10</v>
      </c>
      <c r="BN18" s="54">
        <v>10</v>
      </c>
      <c r="BO18" s="54">
        <v>10</v>
      </c>
      <c r="BP18" s="54">
        <v>6</v>
      </c>
      <c r="BQ18" s="54">
        <v>6</v>
      </c>
      <c r="BR18" s="54">
        <v>6</v>
      </c>
      <c r="BS18" s="54">
        <v>3</v>
      </c>
      <c r="BT18" s="54">
        <v>3</v>
      </c>
      <c r="BU18" s="54">
        <v>3</v>
      </c>
      <c r="BV18" s="54">
        <v>0</v>
      </c>
      <c r="BW18" s="54">
        <v>0</v>
      </c>
      <c r="BX18" s="54">
        <v>0</v>
      </c>
      <c r="BY18" s="54">
        <v>0</v>
      </c>
      <c r="BZ18" s="54">
        <v>0</v>
      </c>
      <c r="CA18" s="54">
        <v>0</v>
      </c>
      <c r="CB18" s="54">
        <v>0</v>
      </c>
      <c r="CC18" s="54">
        <v>0</v>
      </c>
      <c r="CD18" s="54">
        <v>0</v>
      </c>
      <c r="CE18" s="54">
        <v>0</v>
      </c>
      <c r="CF18" s="54">
        <v>0</v>
      </c>
      <c r="CG18" s="54">
        <v>0</v>
      </c>
      <c r="CH18" s="54">
        <v>0</v>
      </c>
      <c r="CI18" s="54">
        <v>0</v>
      </c>
      <c r="CJ18" s="54">
        <v>0</v>
      </c>
      <c r="CK18" s="54">
        <v>0</v>
      </c>
      <c r="CL18" s="54">
        <v>0</v>
      </c>
      <c r="CM18" s="54">
        <v>0</v>
      </c>
      <c r="CN18" s="54">
        <v>0</v>
      </c>
      <c r="CO18" s="54">
        <v>0</v>
      </c>
      <c r="CP18" s="54">
        <v>0</v>
      </c>
      <c r="CQ18" s="54">
        <v>0</v>
      </c>
      <c r="CR18" s="54">
        <v>0</v>
      </c>
      <c r="CS18" s="54">
        <v>0</v>
      </c>
    </row>
    <row r="19" spans="1:97" ht="18" customHeight="1" x14ac:dyDescent="0.2">
      <c r="A19" s="11">
        <v>14</v>
      </c>
      <c r="B19" s="11" t="s">
        <v>223</v>
      </c>
      <c r="C19" s="11" t="s">
        <v>224</v>
      </c>
      <c r="D19" s="11" t="s">
        <v>225</v>
      </c>
      <c r="E19" s="11" t="s">
        <v>226</v>
      </c>
      <c r="F19" s="11" t="s">
        <v>227</v>
      </c>
      <c r="G19" s="11" t="s">
        <v>228</v>
      </c>
      <c r="H19" s="11" t="s">
        <v>229</v>
      </c>
      <c r="I19" s="11" t="s">
        <v>230</v>
      </c>
      <c r="J19" s="11" t="s">
        <v>231</v>
      </c>
      <c r="K19" s="11" t="s">
        <v>232</v>
      </c>
      <c r="L19" s="11" t="s">
        <v>233</v>
      </c>
      <c r="M19" s="14" t="s">
        <v>234</v>
      </c>
      <c r="N19" s="14" t="s">
        <v>81</v>
      </c>
      <c r="O19" s="14" t="s">
        <v>55</v>
      </c>
      <c r="P19" s="14" t="s">
        <v>56</v>
      </c>
      <c r="Q19" s="14" t="s">
        <v>57</v>
      </c>
      <c r="R19" s="14" t="s">
        <v>58</v>
      </c>
      <c r="S19" s="14" t="s">
        <v>59</v>
      </c>
      <c r="T19" s="14" t="s">
        <v>63</v>
      </c>
      <c r="U19" s="14" t="s">
        <v>64</v>
      </c>
      <c r="V19" s="14" t="s">
        <v>65</v>
      </c>
      <c r="W19" s="14" t="s">
        <v>66</v>
      </c>
      <c r="X19" s="55">
        <f t="shared" si="4"/>
        <v>234</v>
      </c>
      <c r="Y19" s="54">
        <v>0</v>
      </c>
      <c r="Z19" s="54">
        <v>0</v>
      </c>
      <c r="AA19" s="54">
        <v>0</v>
      </c>
      <c r="AB19" s="54">
        <v>0</v>
      </c>
      <c r="AC19" s="54">
        <v>0</v>
      </c>
      <c r="AD19" s="54">
        <v>0</v>
      </c>
      <c r="AE19" s="54">
        <v>0</v>
      </c>
      <c r="AF19" s="54">
        <v>0</v>
      </c>
      <c r="AG19" s="54">
        <v>0</v>
      </c>
      <c r="AH19" s="54">
        <v>0</v>
      </c>
      <c r="AI19" s="54">
        <v>0</v>
      </c>
      <c r="AJ19" s="54">
        <v>0</v>
      </c>
      <c r="AK19" s="54">
        <v>0</v>
      </c>
      <c r="AL19" s="54">
        <v>0</v>
      </c>
      <c r="AM19" s="54">
        <v>0</v>
      </c>
      <c r="AN19" s="54">
        <v>0</v>
      </c>
      <c r="AO19" s="54">
        <v>0</v>
      </c>
      <c r="AP19" s="54">
        <v>0</v>
      </c>
      <c r="AQ19" s="54">
        <v>0</v>
      </c>
      <c r="AR19" s="54">
        <v>0</v>
      </c>
      <c r="AS19" s="54">
        <v>0</v>
      </c>
      <c r="AT19" s="54">
        <v>0</v>
      </c>
      <c r="AU19" s="54">
        <v>0</v>
      </c>
      <c r="AV19" s="54">
        <v>0</v>
      </c>
      <c r="AW19" s="54">
        <v>0</v>
      </c>
      <c r="AX19" s="54">
        <v>3</v>
      </c>
      <c r="AY19" s="54">
        <v>3</v>
      </c>
      <c r="AZ19" s="54">
        <v>3</v>
      </c>
      <c r="BA19" s="54">
        <v>6</v>
      </c>
      <c r="BB19" s="54">
        <v>6</v>
      </c>
      <c r="BC19" s="54">
        <v>6</v>
      </c>
      <c r="BD19" s="54">
        <v>10</v>
      </c>
      <c r="BE19" s="54">
        <v>10</v>
      </c>
      <c r="BF19" s="54">
        <v>10</v>
      </c>
      <c r="BG19" s="54">
        <v>20</v>
      </c>
      <c r="BH19" s="54">
        <v>20</v>
      </c>
      <c r="BI19" s="54">
        <v>20</v>
      </c>
      <c r="BJ19" s="54">
        <v>20</v>
      </c>
      <c r="BK19" s="54">
        <v>20</v>
      </c>
      <c r="BL19" s="54">
        <v>20</v>
      </c>
      <c r="BM19" s="54">
        <v>10</v>
      </c>
      <c r="BN19" s="54">
        <v>10</v>
      </c>
      <c r="BO19" s="54">
        <v>10</v>
      </c>
      <c r="BP19" s="54">
        <v>6</v>
      </c>
      <c r="BQ19" s="54">
        <v>6</v>
      </c>
      <c r="BR19" s="54">
        <v>6</v>
      </c>
      <c r="BS19" s="54">
        <v>3</v>
      </c>
      <c r="BT19" s="54">
        <v>3</v>
      </c>
      <c r="BU19" s="54">
        <v>3</v>
      </c>
      <c r="BV19" s="54">
        <v>0</v>
      </c>
      <c r="BW19" s="54">
        <v>0</v>
      </c>
      <c r="BX19" s="54">
        <v>0</v>
      </c>
      <c r="BY19" s="54">
        <v>0</v>
      </c>
      <c r="BZ19" s="54">
        <v>0</v>
      </c>
      <c r="CA19" s="54">
        <v>0</v>
      </c>
      <c r="CB19" s="54">
        <v>0</v>
      </c>
      <c r="CC19" s="54">
        <v>0</v>
      </c>
      <c r="CD19" s="54">
        <v>0</v>
      </c>
      <c r="CE19" s="54">
        <v>0</v>
      </c>
      <c r="CF19" s="54">
        <v>0</v>
      </c>
      <c r="CG19" s="54">
        <v>0</v>
      </c>
      <c r="CH19" s="54">
        <v>0</v>
      </c>
      <c r="CI19" s="54">
        <v>0</v>
      </c>
      <c r="CJ19" s="54">
        <v>0</v>
      </c>
      <c r="CK19" s="54">
        <v>0</v>
      </c>
      <c r="CL19" s="54">
        <v>0</v>
      </c>
      <c r="CM19" s="54">
        <v>0</v>
      </c>
      <c r="CN19" s="54">
        <v>0</v>
      </c>
      <c r="CO19" s="54">
        <v>0</v>
      </c>
      <c r="CP19" s="54">
        <v>0</v>
      </c>
      <c r="CQ19" s="54">
        <v>0</v>
      </c>
      <c r="CR19" s="54">
        <v>0</v>
      </c>
      <c r="CS19" s="54">
        <v>0</v>
      </c>
    </row>
    <row r="20" spans="1:97" ht="18" customHeight="1" x14ac:dyDescent="0.2">
      <c r="A20" s="11">
        <v>15</v>
      </c>
      <c r="B20" s="11" t="s">
        <v>235</v>
      </c>
      <c r="C20" s="11" t="s">
        <v>236</v>
      </c>
      <c r="D20" s="11" t="s">
        <v>237</v>
      </c>
      <c r="E20" s="11" t="s">
        <v>238</v>
      </c>
      <c r="F20" s="11" t="s">
        <v>239</v>
      </c>
      <c r="G20" s="11" t="s">
        <v>240</v>
      </c>
      <c r="H20" s="11" t="s">
        <v>241</v>
      </c>
      <c r="I20" s="11" t="s">
        <v>242</v>
      </c>
      <c r="J20" s="11" t="s">
        <v>243</v>
      </c>
      <c r="K20" s="11" t="s">
        <v>244</v>
      </c>
      <c r="L20" s="11" t="s">
        <v>245</v>
      </c>
      <c r="M20" s="14" t="s">
        <v>246</v>
      </c>
      <c r="N20" s="14" t="s">
        <v>81</v>
      </c>
      <c r="O20" s="14" t="s">
        <v>55</v>
      </c>
      <c r="P20" s="14" t="s">
        <v>56</v>
      </c>
      <c r="Q20" s="14" t="s">
        <v>57</v>
      </c>
      <c r="R20" s="14" t="s">
        <v>58</v>
      </c>
      <c r="S20" s="14" t="s">
        <v>59</v>
      </c>
      <c r="T20" s="14" t="s">
        <v>63</v>
      </c>
      <c r="U20" s="14" t="s">
        <v>64</v>
      </c>
      <c r="V20" s="14" t="s">
        <v>65</v>
      </c>
      <c r="W20" s="14" t="s">
        <v>66</v>
      </c>
      <c r="X20" s="55">
        <f t="shared" si="4"/>
        <v>234</v>
      </c>
      <c r="Y20" s="54">
        <v>0</v>
      </c>
      <c r="Z20" s="54">
        <v>0</v>
      </c>
      <c r="AA20" s="54">
        <v>0</v>
      </c>
      <c r="AB20" s="54">
        <v>0</v>
      </c>
      <c r="AC20" s="54">
        <v>0</v>
      </c>
      <c r="AD20" s="54">
        <v>0</v>
      </c>
      <c r="AE20" s="54">
        <v>0</v>
      </c>
      <c r="AF20" s="54">
        <v>0</v>
      </c>
      <c r="AG20" s="54">
        <v>0</v>
      </c>
      <c r="AH20" s="54">
        <v>0</v>
      </c>
      <c r="AI20" s="54">
        <v>0</v>
      </c>
      <c r="AJ20" s="54">
        <v>0</v>
      </c>
      <c r="AK20" s="54">
        <v>0</v>
      </c>
      <c r="AL20" s="54">
        <v>0</v>
      </c>
      <c r="AM20" s="54">
        <v>0</v>
      </c>
      <c r="AN20" s="54">
        <v>0</v>
      </c>
      <c r="AO20" s="54">
        <v>0</v>
      </c>
      <c r="AP20" s="54">
        <v>0</v>
      </c>
      <c r="AQ20" s="54">
        <v>0</v>
      </c>
      <c r="AR20" s="54">
        <v>0</v>
      </c>
      <c r="AS20" s="54">
        <v>0</v>
      </c>
      <c r="AT20" s="54">
        <v>0</v>
      </c>
      <c r="AU20" s="54">
        <v>0</v>
      </c>
      <c r="AV20" s="54">
        <v>0</v>
      </c>
      <c r="AW20" s="54">
        <v>0</v>
      </c>
      <c r="AX20" s="54">
        <v>3</v>
      </c>
      <c r="AY20" s="54">
        <v>3</v>
      </c>
      <c r="AZ20" s="54">
        <v>3</v>
      </c>
      <c r="BA20" s="54">
        <v>6</v>
      </c>
      <c r="BB20" s="54">
        <v>6</v>
      </c>
      <c r="BC20" s="54">
        <v>6</v>
      </c>
      <c r="BD20" s="54">
        <v>10</v>
      </c>
      <c r="BE20" s="54">
        <v>10</v>
      </c>
      <c r="BF20" s="54">
        <v>10</v>
      </c>
      <c r="BG20" s="54">
        <v>20</v>
      </c>
      <c r="BH20" s="54">
        <v>20</v>
      </c>
      <c r="BI20" s="54">
        <v>20</v>
      </c>
      <c r="BJ20" s="54">
        <v>20</v>
      </c>
      <c r="BK20" s="54">
        <v>20</v>
      </c>
      <c r="BL20" s="54">
        <v>20</v>
      </c>
      <c r="BM20" s="54">
        <v>10</v>
      </c>
      <c r="BN20" s="54">
        <v>10</v>
      </c>
      <c r="BO20" s="54">
        <v>10</v>
      </c>
      <c r="BP20" s="54">
        <v>6</v>
      </c>
      <c r="BQ20" s="54">
        <v>6</v>
      </c>
      <c r="BR20" s="54">
        <v>6</v>
      </c>
      <c r="BS20" s="54">
        <v>3</v>
      </c>
      <c r="BT20" s="54">
        <v>3</v>
      </c>
      <c r="BU20" s="54">
        <v>3</v>
      </c>
      <c r="BV20" s="54">
        <v>0</v>
      </c>
      <c r="BW20" s="54">
        <v>0</v>
      </c>
      <c r="BX20" s="54">
        <v>0</v>
      </c>
      <c r="BY20" s="54">
        <v>0</v>
      </c>
      <c r="BZ20" s="54">
        <v>0</v>
      </c>
      <c r="CA20" s="54">
        <v>0</v>
      </c>
      <c r="CB20" s="54">
        <v>0</v>
      </c>
      <c r="CC20" s="54">
        <v>0</v>
      </c>
      <c r="CD20" s="54">
        <v>0</v>
      </c>
      <c r="CE20" s="54">
        <v>0</v>
      </c>
      <c r="CF20" s="54">
        <v>0</v>
      </c>
      <c r="CG20" s="54">
        <v>0</v>
      </c>
      <c r="CH20" s="54">
        <v>0</v>
      </c>
      <c r="CI20" s="54">
        <v>0</v>
      </c>
      <c r="CJ20" s="54">
        <v>0</v>
      </c>
      <c r="CK20" s="54">
        <v>0</v>
      </c>
      <c r="CL20" s="54">
        <v>0</v>
      </c>
      <c r="CM20" s="54">
        <v>0</v>
      </c>
      <c r="CN20" s="54">
        <v>0</v>
      </c>
      <c r="CO20" s="54">
        <v>0</v>
      </c>
      <c r="CP20" s="54">
        <v>0</v>
      </c>
      <c r="CQ20" s="54">
        <v>0</v>
      </c>
      <c r="CR20" s="54">
        <v>0</v>
      </c>
      <c r="CS20" s="54">
        <v>0</v>
      </c>
    </row>
    <row r="21" spans="1:97" ht="18" customHeight="1" x14ac:dyDescent="0.2">
      <c r="A21" s="11">
        <v>16</v>
      </c>
      <c r="B21" s="11" t="s">
        <v>247</v>
      </c>
      <c r="C21" s="11" t="s">
        <v>248</v>
      </c>
      <c r="D21" s="11" t="s">
        <v>249</v>
      </c>
      <c r="E21" s="11" t="s">
        <v>250</v>
      </c>
      <c r="F21" s="11" t="s">
        <v>251</v>
      </c>
      <c r="G21" s="11" t="s">
        <v>252</v>
      </c>
      <c r="H21" s="11" t="s">
        <v>253</v>
      </c>
      <c r="I21" s="11" t="s">
        <v>254</v>
      </c>
      <c r="J21" s="11" t="s">
        <v>255</v>
      </c>
      <c r="K21" s="11" t="s">
        <v>256</v>
      </c>
      <c r="L21" s="11" t="s">
        <v>257</v>
      </c>
      <c r="M21" s="14" t="s">
        <v>258</v>
      </c>
      <c r="N21" s="14" t="s">
        <v>81</v>
      </c>
      <c r="O21" s="14" t="s">
        <v>55</v>
      </c>
      <c r="P21" s="14" t="s">
        <v>56</v>
      </c>
      <c r="Q21" s="14" t="s">
        <v>57</v>
      </c>
      <c r="R21" s="14" t="s">
        <v>58</v>
      </c>
      <c r="S21" s="14" t="s">
        <v>59</v>
      </c>
      <c r="T21" s="14" t="s">
        <v>63</v>
      </c>
      <c r="U21" s="14" t="s">
        <v>64</v>
      </c>
      <c r="V21" s="14" t="s">
        <v>65</v>
      </c>
      <c r="W21" s="14" t="s">
        <v>66</v>
      </c>
      <c r="X21" s="55">
        <f t="shared" si="4"/>
        <v>234</v>
      </c>
      <c r="Y21" s="54">
        <v>0</v>
      </c>
      <c r="Z21" s="54">
        <v>0</v>
      </c>
      <c r="AA21" s="54">
        <v>0</v>
      </c>
      <c r="AB21" s="54">
        <v>0</v>
      </c>
      <c r="AC21" s="54">
        <v>0</v>
      </c>
      <c r="AD21" s="54">
        <v>0</v>
      </c>
      <c r="AE21" s="54">
        <v>0</v>
      </c>
      <c r="AF21" s="54">
        <v>0</v>
      </c>
      <c r="AG21" s="54">
        <v>0</v>
      </c>
      <c r="AH21" s="54">
        <v>0</v>
      </c>
      <c r="AI21" s="54">
        <v>0</v>
      </c>
      <c r="AJ21" s="54">
        <v>0</v>
      </c>
      <c r="AK21" s="54">
        <v>0</v>
      </c>
      <c r="AL21" s="54">
        <v>0</v>
      </c>
      <c r="AM21" s="54">
        <v>0</v>
      </c>
      <c r="AN21" s="54">
        <v>0</v>
      </c>
      <c r="AO21" s="54">
        <v>0</v>
      </c>
      <c r="AP21" s="54">
        <v>0</v>
      </c>
      <c r="AQ21" s="54">
        <v>0</v>
      </c>
      <c r="AR21" s="54">
        <v>0</v>
      </c>
      <c r="AS21" s="54">
        <v>0</v>
      </c>
      <c r="AT21" s="54">
        <v>0</v>
      </c>
      <c r="AU21" s="54">
        <v>0</v>
      </c>
      <c r="AV21" s="54">
        <v>0</v>
      </c>
      <c r="AW21" s="54">
        <v>0</v>
      </c>
      <c r="AX21" s="54">
        <v>3</v>
      </c>
      <c r="AY21" s="54">
        <v>3</v>
      </c>
      <c r="AZ21" s="54">
        <v>3</v>
      </c>
      <c r="BA21" s="54">
        <v>6</v>
      </c>
      <c r="BB21" s="54">
        <v>6</v>
      </c>
      <c r="BC21" s="54">
        <v>6</v>
      </c>
      <c r="BD21" s="54">
        <v>10</v>
      </c>
      <c r="BE21" s="54">
        <v>10</v>
      </c>
      <c r="BF21" s="54">
        <v>10</v>
      </c>
      <c r="BG21" s="54">
        <v>20</v>
      </c>
      <c r="BH21" s="54">
        <v>20</v>
      </c>
      <c r="BI21" s="54">
        <v>20</v>
      </c>
      <c r="BJ21" s="54">
        <v>20</v>
      </c>
      <c r="BK21" s="54">
        <v>20</v>
      </c>
      <c r="BL21" s="54">
        <v>20</v>
      </c>
      <c r="BM21" s="54">
        <v>10</v>
      </c>
      <c r="BN21" s="54">
        <v>10</v>
      </c>
      <c r="BO21" s="54">
        <v>10</v>
      </c>
      <c r="BP21" s="54">
        <v>6</v>
      </c>
      <c r="BQ21" s="54">
        <v>6</v>
      </c>
      <c r="BR21" s="54">
        <v>6</v>
      </c>
      <c r="BS21" s="54">
        <v>3</v>
      </c>
      <c r="BT21" s="54">
        <v>3</v>
      </c>
      <c r="BU21" s="54">
        <v>3</v>
      </c>
      <c r="BV21" s="54">
        <v>0</v>
      </c>
      <c r="BW21" s="54">
        <v>0</v>
      </c>
      <c r="BX21" s="54">
        <v>0</v>
      </c>
      <c r="BY21" s="54">
        <v>0</v>
      </c>
      <c r="BZ21" s="54">
        <v>0</v>
      </c>
      <c r="CA21" s="54">
        <v>0</v>
      </c>
      <c r="CB21" s="54">
        <v>0</v>
      </c>
      <c r="CC21" s="54">
        <v>0</v>
      </c>
      <c r="CD21" s="54">
        <v>0</v>
      </c>
      <c r="CE21" s="54">
        <v>0</v>
      </c>
      <c r="CF21" s="54">
        <v>0</v>
      </c>
      <c r="CG21" s="54">
        <v>0</v>
      </c>
      <c r="CH21" s="54">
        <v>0</v>
      </c>
      <c r="CI21" s="54">
        <v>0</v>
      </c>
      <c r="CJ21" s="54">
        <v>0</v>
      </c>
      <c r="CK21" s="54">
        <v>0</v>
      </c>
      <c r="CL21" s="54">
        <v>0</v>
      </c>
      <c r="CM21" s="54">
        <v>0</v>
      </c>
      <c r="CN21" s="54">
        <v>0</v>
      </c>
      <c r="CO21" s="54">
        <v>0</v>
      </c>
      <c r="CP21" s="54">
        <v>0</v>
      </c>
      <c r="CQ21" s="54">
        <v>0</v>
      </c>
      <c r="CR21" s="54">
        <v>0</v>
      </c>
      <c r="CS21" s="54">
        <v>0</v>
      </c>
    </row>
    <row r="22" spans="1:97" ht="18" customHeight="1" x14ac:dyDescent="0.2">
      <c r="A22" s="11">
        <v>17</v>
      </c>
      <c r="B22" s="11" t="s">
        <v>259</v>
      </c>
      <c r="C22" s="11" t="s">
        <v>260</v>
      </c>
      <c r="D22" s="11" t="s">
        <v>261</v>
      </c>
      <c r="E22" s="11" t="s">
        <v>262</v>
      </c>
      <c r="F22" s="11" t="s">
        <v>263</v>
      </c>
      <c r="G22" s="11" t="s">
        <v>264</v>
      </c>
      <c r="H22" s="11" t="s">
        <v>265</v>
      </c>
      <c r="I22" s="11" t="s">
        <v>266</v>
      </c>
      <c r="J22" s="11" t="s">
        <v>267</v>
      </c>
      <c r="K22" s="11" t="s">
        <v>268</v>
      </c>
      <c r="L22" s="11" t="s">
        <v>269</v>
      </c>
      <c r="M22" s="14" t="s">
        <v>270</v>
      </c>
      <c r="N22" s="14" t="s">
        <v>81</v>
      </c>
      <c r="O22" s="14" t="s">
        <v>55</v>
      </c>
      <c r="P22" s="14" t="s">
        <v>56</v>
      </c>
      <c r="Q22" s="14" t="s">
        <v>57</v>
      </c>
      <c r="R22" s="14" t="s">
        <v>58</v>
      </c>
      <c r="S22" s="14" t="s">
        <v>59</v>
      </c>
      <c r="T22" s="14" t="s">
        <v>63</v>
      </c>
      <c r="U22" s="14" t="s">
        <v>64</v>
      </c>
      <c r="V22" s="14" t="s">
        <v>65</v>
      </c>
      <c r="W22" s="14" t="s">
        <v>66</v>
      </c>
      <c r="X22" s="55">
        <f t="shared" si="4"/>
        <v>234</v>
      </c>
      <c r="Y22" s="54">
        <v>0</v>
      </c>
      <c r="Z22" s="54">
        <v>0</v>
      </c>
      <c r="AA22" s="54">
        <v>0</v>
      </c>
      <c r="AB22" s="54">
        <v>0</v>
      </c>
      <c r="AC22" s="54">
        <v>0</v>
      </c>
      <c r="AD22" s="54">
        <v>0</v>
      </c>
      <c r="AE22" s="54">
        <v>0</v>
      </c>
      <c r="AF22" s="54">
        <v>0</v>
      </c>
      <c r="AG22" s="54">
        <v>0</v>
      </c>
      <c r="AH22" s="54">
        <v>0</v>
      </c>
      <c r="AI22" s="54">
        <v>0</v>
      </c>
      <c r="AJ22" s="54">
        <v>0</v>
      </c>
      <c r="AK22" s="54">
        <v>0</v>
      </c>
      <c r="AL22" s="54">
        <v>0</v>
      </c>
      <c r="AM22" s="54">
        <v>0</v>
      </c>
      <c r="AN22" s="54">
        <v>0</v>
      </c>
      <c r="AO22" s="54">
        <v>0</v>
      </c>
      <c r="AP22" s="54">
        <v>0</v>
      </c>
      <c r="AQ22" s="54">
        <v>0</v>
      </c>
      <c r="AR22" s="54">
        <v>0</v>
      </c>
      <c r="AS22" s="54">
        <v>0</v>
      </c>
      <c r="AT22" s="54">
        <v>0</v>
      </c>
      <c r="AU22" s="54">
        <v>0</v>
      </c>
      <c r="AV22" s="54">
        <v>0</v>
      </c>
      <c r="AW22" s="54">
        <v>0</v>
      </c>
      <c r="AX22" s="54">
        <v>3</v>
      </c>
      <c r="AY22" s="54">
        <v>3</v>
      </c>
      <c r="AZ22" s="54">
        <v>3</v>
      </c>
      <c r="BA22" s="54">
        <v>6</v>
      </c>
      <c r="BB22" s="54">
        <v>6</v>
      </c>
      <c r="BC22" s="54">
        <v>6</v>
      </c>
      <c r="BD22" s="54">
        <v>10</v>
      </c>
      <c r="BE22" s="54">
        <v>10</v>
      </c>
      <c r="BF22" s="54">
        <v>10</v>
      </c>
      <c r="BG22" s="54">
        <v>20</v>
      </c>
      <c r="BH22" s="54">
        <v>20</v>
      </c>
      <c r="BI22" s="54">
        <v>20</v>
      </c>
      <c r="BJ22" s="54">
        <v>20</v>
      </c>
      <c r="BK22" s="54">
        <v>20</v>
      </c>
      <c r="BL22" s="54">
        <v>20</v>
      </c>
      <c r="BM22" s="54">
        <v>10</v>
      </c>
      <c r="BN22" s="54">
        <v>10</v>
      </c>
      <c r="BO22" s="54">
        <v>10</v>
      </c>
      <c r="BP22" s="54">
        <v>6</v>
      </c>
      <c r="BQ22" s="54">
        <v>6</v>
      </c>
      <c r="BR22" s="54">
        <v>6</v>
      </c>
      <c r="BS22" s="54">
        <v>3</v>
      </c>
      <c r="BT22" s="54">
        <v>3</v>
      </c>
      <c r="BU22" s="54">
        <v>3</v>
      </c>
      <c r="BV22" s="54">
        <v>0</v>
      </c>
      <c r="BW22" s="54">
        <v>0</v>
      </c>
      <c r="BX22" s="54">
        <v>0</v>
      </c>
      <c r="BY22" s="54">
        <v>0</v>
      </c>
      <c r="BZ22" s="54">
        <v>0</v>
      </c>
      <c r="CA22" s="54">
        <v>0</v>
      </c>
      <c r="CB22" s="54">
        <v>0</v>
      </c>
      <c r="CC22" s="54">
        <v>0</v>
      </c>
      <c r="CD22" s="54">
        <v>0</v>
      </c>
      <c r="CE22" s="54">
        <v>0</v>
      </c>
      <c r="CF22" s="54">
        <v>0</v>
      </c>
      <c r="CG22" s="54">
        <v>0</v>
      </c>
      <c r="CH22" s="54">
        <v>0</v>
      </c>
      <c r="CI22" s="54">
        <v>0</v>
      </c>
      <c r="CJ22" s="54">
        <v>0</v>
      </c>
      <c r="CK22" s="54">
        <v>0</v>
      </c>
      <c r="CL22" s="54">
        <v>0</v>
      </c>
      <c r="CM22" s="54">
        <v>0</v>
      </c>
      <c r="CN22" s="54">
        <v>0</v>
      </c>
      <c r="CO22" s="54">
        <v>0</v>
      </c>
      <c r="CP22" s="54">
        <v>0</v>
      </c>
      <c r="CQ22" s="54">
        <v>0</v>
      </c>
      <c r="CR22" s="54">
        <v>0</v>
      </c>
      <c r="CS22" s="54">
        <v>0</v>
      </c>
    </row>
    <row r="23" spans="1:97" ht="18" customHeight="1" x14ac:dyDescent="0.2">
      <c r="A23" s="11">
        <v>18</v>
      </c>
      <c r="B23" s="11" t="s">
        <v>271</v>
      </c>
      <c r="C23" s="11" t="s">
        <v>272</v>
      </c>
      <c r="D23" s="11" t="s">
        <v>273</v>
      </c>
      <c r="E23" s="11" t="s">
        <v>274</v>
      </c>
      <c r="F23" s="11" t="s">
        <v>275</v>
      </c>
      <c r="G23" s="11" t="s">
        <v>276</v>
      </c>
      <c r="H23" s="11" t="s">
        <v>277</v>
      </c>
      <c r="I23" s="11" t="s">
        <v>278</v>
      </c>
      <c r="J23" s="11" t="s">
        <v>279</v>
      </c>
      <c r="K23" s="11" t="s">
        <v>280</v>
      </c>
      <c r="L23" s="11" t="s">
        <v>281</v>
      </c>
      <c r="M23" s="14" t="s">
        <v>282</v>
      </c>
      <c r="N23" s="14" t="s">
        <v>81</v>
      </c>
      <c r="O23" s="14" t="s">
        <v>55</v>
      </c>
      <c r="P23" s="14" t="s">
        <v>56</v>
      </c>
      <c r="Q23" s="14" t="s">
        <v>57</v>
      </c>
      <c r="R23" s="14" t="s">
        <v>58</v>
      </c>
      <c r="S23" s="14" t="s">
        <v>59</v>
      </c>
      <c r="T23" s="14" t="s">
        <v>63</v>
      </c>
      <c r="U23" s="14" t="s">
        <v>64</v>
      </c>
      <c r="V23" s="14" t="s">
        <v>65</v>
      </c>
      <c r="W23" s="14" t="s">
        <v>66</v>
      </c>
      <c r="X23" s="55">
        <f t="shared" si="4"/>
        <v>234</v>
      </c>
      <c r="Y23" s="54">
        <v>0</v>
      </c>
      <c r="Z23" s="54">
        <v>0</v>
      </c>
      <c r="AA23" s="54">
        <v>0</v>
      </c>
      <c r="AB23" s="54">
        <v>0</v>
      </c>
      <c r="AC23" s="54">
        <v>0</v>
      </c>
      <c r="AD23" s="54">
        <v>0</v>
      </c>
      <c r="AE23" s="54">
        <v>0</v>
      </c>
      <c r="AF23" s="54">
        <v>0</v>
      </c>
      <c r="AG23" s="54">
        <v>0</v>
      </c>
      <c r="AH23" s="54">
        <v>0</v>
      </c>
      <c r="AI23" s="54">
        <v>0</v>
      </c>
      <c r="AJ23" s="54">
        <v>0</v>
      </c>
      <c r="AK23" s="54">
        <v>0</v>
      </c>
      <c r="AL23" s="54">
        <v>0</v>
      </c>
      <c r="AM23" s="54">
        <v>0</v>
      </c>
      <c r="AN23" s="54">
        <v>0</v>
      </c>
      <c r="AO23" s="54">
        <v>0</v>
      </c>
      <c r="AP23" s="54">
        <v>0</v>
      </c>
      <c r="AQ23" s="54">
        <v>0</v>
      </c>
      <c r="AR23" s="54">
        <v>0</v>
      </c>
      <c r="AS23" s="54">
        <v>0</v>
      </c>
      <c r="AT23" s="54">
        <v>0</v>
      </c>
      <c r="AU23" s="54">
        <v>0</v>
      </c>
      <c r="AV23" s="54">
        <v>0</v>
      </c>
      <c r="AW23" s="54">
        <v>0</v>
      </c>
      <c r="AX23" s="54">
        <v>3</v>
      </c>
      <c r="AY23" s="54">
        <v>3</v>
      </c>
      <c r="AZ23" s="54">
        <v>3</v>
      </c>
      <c r="BA23" s="54">
        <v>6</v>
      </c>
      <c r="BB23" s="54">
        <v>6</v>
      </c>
      <c r="BC23" s="54">
        <v>6</v>
      </c>
      <c r="BD23" s="54">
        <v>10</v>
      </c>
      <c r="BE23" s="54">
        <v>10</v>
      </c>
      <c r="BF23" s="54">
        <v>10</v>
      </c>
      <c r="BG23" s="54">
        <v>20</v>
      </c>
      <c r="BH23" s="54">
        <v>20</v>
      </c>
      <c r="BI23" s="54">
        <v>20</v>
      </c>
      <c r="BJ23" s="54">
        <v>20</v>
      </c>
      <c r="BK23" s="54">
        <v>20</v>
      </c>
      <c r="BL23" s="54">
        <v>20</v>
      </c>
      <c r="BM23" s="54">
        <v>10</v>
      </c>
      <c r="BN23" s="54">
        <v>10</v>
      </c>
      <c r="BO23" s="54">
        <v>10</v>
      </c>
      <c r="BP23" s="54">
        <v>6</v>
      </c>
      <c r="BQ23" s="54">
        <v>6</v>
      </c>
      <c r="BR23" s="54">
        <v>6</v>
      </c>
      <c r="BS23" s="54">
        <v>3</v>
      </c>
      <c r="BT23" s="54">
        <v>3</v>
      </c>
      <c r="BU23" s="54">
        <v>3</v>
      </c>
      <c r="BV23" s="54">
        <v>0</v>
      </c>
      <c r="BW23" s="54">
        <v>0</v>
      </c>
      <c r="BX23" s="54">
        <v>0</v>
      </c>
      <c r="BY23" s="54">
        <v>0</v>
      </c>
      <c r="BZ23" s="54">
        <v>0</v>
      </c>
      <c r="CA23" s="54">
        <v>0</v>
      </c>
      <c r="CB23" s="54">
        <v>0</v>
      </c>
      <c r="CC23" s="54">
        <v>0</v>
      </c>
      <c r="CD23" s="54">
        <v>0</v>
      </c>
      <c r="CE23" s="54">
        <v>0</v>
      </c>
      <c r="CF23" s="54">
        <v>0</v>
      </c>
      <c r="CG23" s="54">
        <v>0</v>
      </c>
      <c r="CH23" s="54">
        <v>0</v>
      </c>
      <c r="CI23" s="54">
        <v>0</v>
      </c>
      <c r="CJ23" s="54">
        <v>0</v>
      </c>
      <c r="CK23" s="54">
        <v>0</v>
      </c>
      <c r="CL23" s="54">
        <v>0</v>
      </c>
      <c r="CM23" s="54">
        <v>0</v>
      </c>
      <c r="CN23" s="54">
        <v>0</v>
      </c>
      <c r="CO23" s="54">
        <v>0</v>
      </c>
      <c r="CP23" s="54">
        <v>0</v>
      </c>
      <c r="CQ23" s="54">
        <v>0</v>
      </c>
      <c r="CR23" s="54">
        <v>0</v>
      </c>
      <c r="CS23" s="54">
        <v>0</v>
      </c>
    </row>
    <row r="24" spans="1:97" ht="18" customHeight="1" x14ac:dyDescent="0.2">
      <c r="A24" s="11">
        <v>19</v>
      </c>
      <c r="B24" s="11" t="s">
        <v>283</v>
      </c>
      <c r="C24" s="11" t="s">
        <v>284</v>
      </c>
      <c r="D24" s="11" t="s">
        <v>285</v>
      </c>
      <c r="E24" s="11" t="s">
        <v>286</v>
      </c>
      <c r="F24" s="11" t="s">
        <v>287</v>
      </c>
      <c r="G24" s="11" t="s">
        <v>288</v>
      </c>
      <c r="H24" s="11" t="s">
        <v>289</v>
      </c>
      <c r="I24" s="11" t="s">
        <v>290</v>
      </c>
      <c r="J24" s="11" t="s">
        <v>291</v>
      </c>
      <c r="K24" s="11" t="s">
        <v>292</v>
      </c>
      <c r="L24" s="11" t="s">
        <v>293</v>
      </c>
      <c r="M24" s="14" t="s">
        <v>294</v>
      </c>
      <c r="N24" s="14" t="s">
        <v>81</v>
      </c>
      <c r="O24" s="14" t="s">
        <v>55</v>
      </c>
      <c r="P24" s="14" t="s">
        <v>56</v>
      </c>
      <c r="Q24" s="14" t="s">
        <v>57</v>
      </c>
      <c r="R24" s="14" t="s">
        <v>58</v>
      </c>
      <c r="S24" s="14" t="s">
        <v>59</v>
      </c>
      <c r="T24" s="14" t="s">
        <v>63</v>
      </c>
      <c r="U24" s="14" t="s">
        <v>64</v>
      </c>
      <c r="V24" s="14" t="s">
        <v>65</v>
      </c>
      <c r="W24" s="14" t="s">
        <v>66</v>
      </c>
      <c r="X24" s="55">
        <f t="shared" si="4"/>
        <v>234</v>
      </c>
      <c r="Y24" s="54">
        <v>0</v>
      </c>
      <c r="Z24" s="54">
        <v>0</v>
      </c>
      <c r="AA24" s="54">
        <v>0</v>
      </c>
      <c r="AB24" s="54">
        <v>0</v>
      </c>
      <c r="AC24" s="54">
        <v>0</v>
      </c>
      <c r="AD24" s="54">
        <v>0</v>
      </c>
      <c r="AE24" s="54">
        <v>0</v>
      </c>
      <c r="AF24" s="54">
        <v>0</v>
      </c>
      <c r="AG24" s="54">
        <v>0</v>
      </c>
      <c r="AH24" s="54">
        <v>0</v>
      </c>
      <c r="AI24" s="54">
        <v>0</v>
      </c>
      <c r="AJ24" s="54">
        <v>0</v>
      </c>
      <c r="AK24" s="54">
        <v>0</v>
      </c>
      <c r="AL24" s="54">
        <v>0</v>
      </c>
      <c r="AM24" s="54">
        <v>0</v>
      </c>
      <c r="AN24" s="54">
        <v>0</v>
      </c>
      <c r="AO24" s="54">
        <v>0</v>
      </c>
      <c r="AP24" s="54">
        <v>0</v>
      </c>
      <c r="AQ24" s="54">
        <v>0</v>
      </c>
      <c r="AR24" s="54">
        <v>0</v>
      </c>
      <c r="AS24" s="54">
        <v>0</v>
      </c>
      <c r="AT24" s="54">
        <v>0</v>
      </c>
      <c r="AU24" s="54">
        <v>0</v>
      </c>
      <c r="AV24" s="54">
        <v>0</v>
      </c>
      <c r="AW24" s="54">
        <v>0</v>
      </c>
      <c r="AX24" s="54">
        <v>3</v>
      </c>
      <c r="AY24" s="54">
        <v>3</v>
      </c>
      <c r="AZ24" s="54">
        <v>3</v>
      </c>
      <c r="BA24" s="54">
        <v>6</v>
      </c>
      <c r="BB24" s="54">
        <v>6</v>
      </c>
      <c r="BC24" s="54">
        <v>6</v>
      </c>
      <c r="BD24" s="54">
        <v>10</v>
      </c>
      <c r="BE24" s="54">
        <v>10</v>
      </c>
      <c r="BF24" s="54">
        <v>10</v>
      </c>
      <c r="BG24" s="54">
        <v>20</v>
      </c>
      <c r="BH24" s="54">
        <v>20</v>
      </c>
      <c r="BI24" s="54">
        <v>20</v>
      </c>
      <c r="BJ24" s="54">
        <v>20</v>
      </c>
      <c r="BK24" s="54">
        <v>20</v>
      </c>
      <c r="BL24" s="54">
        <v>20</v>
      </c>
      <c r="BM24" s="54">
        <v>10</v>
      </c>
      <c r="BN24" s="54">
        <v>10</v>
      </c>
      <c r="BO24" s="54">
        <v>10</v>
      </c>
      <c r="BP24" s="54">
        <v>6</v>
      </c>
      <c r="BQ24" s="54">
        <v>6</v>
      </c>
      <c r="BR24" s="54">
        <v>6</v>
      </c>
      <c r="BS24" s="54">
        <v>3</v>
      </c>
      <c r="BT24" s="54">
        <v>3</v>
      </c>
      <c r="BU24" s="54">
        <v>3</v>
      </c>
      <c r="BV24" s="54">
        <v>0</v>
      </c>
      <c r="BW24" s="54">
        <v>0</v>
      </c>
      <c r="BX24" s="54">
        <v>0</v>
      </c>
      <c r="BY24" s="54">
        <v>0</v>
      </c>
      <c r="BZ24" s="54">
        <v>0</v>
      </c>
      <c r="CA24" s="54">
        <v>0</v>
      </c>
      <c r="CB24" s="54">
        <v>0</v>
      </c>
      <c r="CC24" s="54">
        <v>0</v>
      </c>
      <c r="CD24" s="54">
        <v>0</v>
      </c>
      <c r="CE24" s="54">
        <v>0</v>
      </c>
      <c r="CF24" s="54">
        <v>0</v>
      </c>
      <c r="CG24" s="54">
        <v>0</v>
      </c>
      <c r="CH24" s="54">
        <v>0</v>
      </c>
      <c r="CI24" s="54">
        <v>0</v>
      </c>
      <c r="CJ24" s="54">
        <v>0</v>
      </c>
      <c r="CK24" s="54">
        <v>0</v>
      </c>
      <c r="CL24" s="54">
        <v>0</v>
      </c>
      <c r="CM24" s="54">
        <v>0</v>
      </c>
      <c r="CN24" s="54">
        <v>0</v>
      </c>
      <c r="CO24" s="54">
        <v>0</v>
      </c>
      <c r="CP24" s="54">
        <v>0</v>
      </c>
      <c r="CQ24" s="54">
        <v>0</v>
      </c>
      <c r="CR24" s="54">
        <v>0</v>
      </c>
      <c r="CS24" s="54">
        <v>0</v>
      </c>
    </row>
    <row r="25" spans="1:97" ht="18" customHeight="1" x14ac:dyDescent="0.2">
      <c r="A25" s="11">
        <v>20</v>
      </c>
      <c r="B25" s="11" t="s">
        <v>295</v>
      </c>
      <c r="C25" s="11" t="s">
        <v>296</v>
      </c>
      <c r="D25" s="11" t="s">
        <v>297</v>
      </c>
      <c r="E25" s="11" t="s">
        <v>298</v>
      </c>
      <c r="F25" s="11" t="s">
        <v>299</v>
      </c>
      <c r="G25" s="11" t="s">
        <v>300</v>
      </c>
      <c r="H25" s="11" t="s">
        <v>301</v>
      </c>
      <c r="I25" s="11" t="s">
        <v>302</v>
      </c>
      <c r="J25" s="11" t="s">
        <v>303</v>
      </c>
      <c r="K25" s="11" t="s">
        <v>304</v>
      </c>
      <c r="L25" s="11" t="s">
        <v>305</v>
      </c>
      <c r="M25" s="14" t="s">
        <v>306</v>
      </c>
      <c r="N25" s="14" t="s">
        <v>81</v>
      </c>
      <c r="O25" s="14" t="s">
        <v>55</v>
      </c>
      <c r="P25" s="14" t="s">
        <v>56</v>
      </c>
      <c r="Q25" s="14" t="s">
        <v>57</v>
      </c>
      <c r="R25" s="14" t="s">
        <v>58</v>
      </c>
      <c r="S25" s="14" t="s">
        <v>59</v>
      </c>
      <c r="T25" s="14" t="s">
        <v>63</v>
      </c>
      <c r="U25" s="14" t="s">
        <v>64</v>
      </c>
      <c r="V25" s="14" t="s">
        <v>65</v>
      </c>
      <c r="W25" s="14" t="s">
        <v>66</v>
      </c>
      <c r="X25" s="55">
        <f t="shared" si="4"/>
        <v>234</v>
      </c>
      <c r="Y25" s="54">
        <v>0</v>
      </c>
      <c r="Z25" s="54">
        <v>0</v>
      </c>
      <c r="AA25" s="54">
        <v>0</v>
      </c>
      <c r="AB25" s="54">
        <v>0</v>
      </c>
      <c r="AC25" s="54">
        <v>0</v>
      </c>
      <c r="AD25" s="54">
        <v>0</v>
      </c>
      <c r="AE25" s="54">
        <v>0</v>
      </c>
      <c r="AF25" s="54">
        <v>0</v>
      </c>
      <c r="AG25" s="54">
        <v>0</v>
      </c>
      <c r="AH25" s="54">
        <v>0</v>
      </c>
      <c r="AI25" s="54">
        <v>0</v>
      </c>
      <c r="AJ25" s="54">
        <v>0</v>
      </c>
      <c r="AK25" s="54">
        <v>0</v>
      </c>
      <c r="AL25" s="54">
        <v>0</v>
      </c>
      <c r="AM25" s="54">
        <v>0</v>
      </c>
      <c r="AN25" s="54">
        <v>0</v>
      </c>
      <c r="AO25" s="54">
        <v>0</v>
      </c>
      <c r="AP25" s="54">
        <v>0</v>
      </c>
      <c r="AQ25" s="54">
        <v>0</v>
      </c>
      <c r="AR25" s="54">
        <v>0</v>
      </c>
      <c r="AS25" s="54">
        <v>0</v>
      </c>
      <c r="AT25" s="54">
        <v>0</v>
      </c>
      <c r="AU25" s="54">
        <v>0</v>
      </c>
      <c r="AV25" s="54">
        <v>0</v>
      </c>
      <c r="AW25" s="54">
        <v>0</v>
      </c>
      <c r="AX25" s="54">
        <v>3</v>
      </c>
      <c r="AY25" s="54">
        <v>3</v>
      </c>
      <c r="AZ25" s="54">
        <v>3</v>
      </c>
      <c r="BA25" s="54">
        <v>6</v>
      </c>
      <c r="BB25" s="54">
        <v>6</v>
      </c>
      <c r="BC25" s="54">
        <v>6</v>
      </c>
      <c r="BD25" s="54">
        <v>10</v>
      </c>
      <c r="BE25" s="54">
        <v>10</v>
      </c>
      <c r="BF25" s="54">
        <v>10</v>
      </c>
      <c r="BG25" s="54">
        <v>20</v>
      </c>
      <c r="BH25" s="54">
        <v>20</v>
      </c>
      <c r="BI25" s="54">
        <v>20</v>
      </c>
      <c r="BJ25" s="54">
        <v>20</v>
      </c>
      <c r="BK25" s="54">
        <v>20</v>
      </c>
      <c r="BL25" s="54">
        <v>20</v>
      </c>
      <c r="BM25" s="54">
        <v>10</v>
      </c>
      <c r="BN25" s="54">
        <v>10</v>
      </c>
      <c r="BO25" s="54">
        <v>10</v>
      </c>
      <c r="BP25" s="54">
        <v>6</v>
      </c>
      <c r="BQ25" s="54">
        <v>6</v>
      </c>
      <c r="BR25" s="54">
        <v>6</v>
      </c>
      <c r="BS25" s="54">
        <v>3</v>
      </c>
      <c r="BT25" s="54">
        <v>3</v>
      </c>
      <c r="BU25" s="54">
        <v>3</v>
      </c>
      <c r="BV25" s="54">
        <v>0</v>
      </c>
      <c r="BW25" s="54">
        <v>0</v>
      </c>
      <c r="BX25" s="54">
        <v>0</v>
      </c>
      <c r="BY25" s="54">
        <v>0</v>
      </c>
      <c r="BZ25" s="54">
        <v>0</v>
      </c>
      <c r="CA25" s="54">
        <v>0</v>
      </c>
      <c r="CB25" s="54">
        <v>0</v>
      </c>
      <c r="CC25" s="54">
        <v>0</v>
      </c>
      <c r="CD25" s="54">
        <v>0</v>
      </c>
      <c r="CE25" s="54">
        <v>0</v>
      </c>
      <c r="CF25" s="54">
        <v>0</v>
      </c>
      <c r="CG25" s="54">
        <v>0</v>
      </c>
      <c r="CH25" s="54">
        <v>0</v>
      </c>
      <c r="CI25" s="54">
        <v>0</v>
      </c>
      <c r="CJ25" s="54">
        <v>0</v>
      </c>
      <c r="CK25" s="54">
        <v>0</v>
      </c>
      <c r="CL25" s="54">
        <v>0</v>
      </c>
      <c r="CM25" s="54">
        <v>0</v>
      </c>
      <c r="CN25" s="54">
        <v>0</v>
      </c>
      <c r="CO25" s="54">
        <v>0</v>
      </c>
      <c r="CP25" s="54">
        <v>0</v>
      </c>
      <c r="CQ25" s="54">
        <v>0</v>
      </c>
      <c r="CR25" s="54">
        <v>0</v>
      </c>
      <c r="CS25" s="54">
        <v>0</v>
      </c>
    </row>
    <row r="26" spans="1:97" ht="18" customHeight="1" x14ac:dyDescent="0.2">
      <c r="A26" s="11">
        <v>21</v>
      </c>
      <c r="B26" s="11" t="s">
        <v>307</v>
      </c>
      <c r="C26" s="11" t="s">
        <v>308</v>
      </c>
      <c r="D26" s="11" t="s">
        <v>309</v>
      </c>
      <c r="E26" s="11" t="s">
        <v>310</v>
      </c>
      <c r="F26" s="11" t="s">
        <v>311</v>
      </c>
      <c r="G26" s="11" t="s">
        <v>312</v>
      </c>
      <c r="H26" s="11" t="s">
        <v>313</v>
      </c>
      <c r="I26" s="11" t="s">
        <v>314</v>
      </c>
      <c r="J26" s="11" t="s">
        <v>315</v>
      </c>
      <c r="K26" s="11" t="s">
        <v>316</v>
      </c>
      <c r="L26" s="11" t="s">
        <v>317</v>
      </c>
      <c r="M26" s="14" t="s">
        <v>318</v>
      </c>
      <c r="N26" s="14" t="s">
        <v>81</v>
      </c>
      <c r="O26" s="14" t="s">
        <v>55</v>
      </c>
      <c r="P26" s="14" t="s">
        <v>56</v>
      </c>
      <c r="Q26" s="14" t="s">
        <v>57</v>
      </c>
      <c r="R26" s="14" t="s">
        <v>58</v>
      </c>
      <c r="S26" s="14" t="s">
        <v>59</v>
      </c>
      <c r="T26" s="14" t="s">
        <v>63</v>
      </c>
      <c r="U26" s="14" t="s">
        <v>64</v>
      </c>
      <c r="V26" s="14" t="s">
        <v>65</v>
      </c>
      <c r="W26" s="14" t="s">
        <v>66</v>
      </c>
      <c r="X26" s="55">
        <f t="shared" si="4"/>
        <v>234</v>
      </c>
      <c r="Y26" s="54">
        <v>0</v>
      </c>
      <c r="Z26" s="54">
        <v>0</v>
      </c>
      <c r="AA26" s="54">
        <v>0</v>
      </c>
      <c r="AB26" s="54">
        <v>0</v>
      </c>
      <c r="AC26" s="54">
        <v>0</v>
      </c>
      <c r="AD26" s="54">
        <v>0</v>
      </c>
      <c r="AE26" s="54">
        <v>0</v>
      </c>
      <c r="AF26" s="54">
        <v>0</v>
      </c>
      <c r="AG26" s="54">
        <v>0</v>
      </c>
      <c r="AH26" s="54">
        <v>0</v>
      </c>
      <c r="AI26" s="54">
        <v>0</v>
      </c>
      <c r="AJ26" s="54">
        <v>0</v>
      </c>
      <c r="AK26" s="54">
        <v>0</v>
      </c>
      <c r="AL26" s="54">
        <v>0</v>
      </c>
      <c r="AM26" s="54">
        <v>0</v>
      </c>
      <c r="AN26" s="54">
        <v>0</v>
      </c>
      <c r="AO26" s="54">
        <v>0</v>
      </c>
      <c r="AP26" s="54">
        <v>0</v>
      </c>
      <c r="AQ26" s="54">
        <v>0</v>
      </c>
      <c r="AR26" s="54">
        <v>0</v>
      </c>
      <c r="AS26" s="54">
        <v>0</v>
      </c>
      <c r="AT26" s="54">
        <v>0</v>
      </c>
      <c r="AU26" s="54">
        <v>0</v>
      </c>
      <c r="AV26" s="54">
        <v>0</v>
      </c>
      <c r="AW26" s="54">
        <v>0</v>
      </c>
      <c r="AX26" s="54">
        <v>3</v>
      </c>
      <c r="AY26" s="54">
        <v>3</v>
      </c>
      <c r="AZ26" s="54">
        <v>3</v>
      </c>
      <c r="BA26" s="54">
        <v>6</v>
      </c>
      <c r="BB26" s="54">
        <v>6</v>
      </c>
      <c r="BC26" s="54">
        <v>6</v>
      </c>
      <c r="BD26" s="54">
        <v>10</v>
      </c>
      <c r="BE26" s="54">
        <v>10</v>
      </c>
      <c r="BF26" s="54">
        <v>10</v>
      </c>
      <c r="BG26" s="54">
        <v>20</v>
      </c>
      <c r="BH26" s="54">
        <v>20</v>
      </c>
      <c r="BI26" s="54">
        <v>20</v>
      </c>
      <c r="BJ26" s="54">
        <v>20</v>
      </c>
      <c r="BK26" s="54">
        <v>20</v>
      </c>
      <c r="BL26" s="54">
        <v>20</v>
      </c>
      <c r="BM26" s="54">
        <v>10</v>
      </c>
      <c r="BN26" s="54">
        <v>10</v>
      </c>
      <c r="BO26" s="54">
        <v>10</v>
      </c>
      <c r="BP26" s="54">
        <v>6</v>
      </c>
      <c r="BQ26" s="54">
        <v>6</v>
      </c>
      <c r="BR26" s="54">
        <v>6</v>
      </c>
      <c r="BS26" s="54">
        <v>3</v>
      </c>
      <c r="BT26" s="54">
        <v>3</v>
      </c>
      <c r="BU26" s="54">
        <v>3</v>
      </c>
      <c r="BV26" s="54">
        <v>0</v>
      </c>
      <c r="BW26" s="54">
        <v>0</v>
      </c>
      <c r="BX26" s="54">
        <v>0</v>
      </c>
      <c r="BY26" s="54">
        <v>0</v>
      </c>
      <c r="BZ26" s="54">
        <v>0</v>
      </c>
      <c r="CA26" s="54">
        <v>0</v>
      </c>
      <c r="CB26" s="54">
        <v>0</v>
      </c>
      <c r="CC26" s="54">
        <v>0</v>
      </c>
      <c r="CD26" s="54">
        <v>0</v>
      </c>
      <c r="CE26" s="54">
        <v>0</v>
      </c>
      <c r="CF26" s="54">
        <v>0</v>
      </c>
      <c r="CG26" s="54">
        <v>0</v>
      </c>
      <c r="CH26" s="54">
        <v>0</v>
      </c>
      <c r="CI26" s="54">
        <v>0</v>
      </c>
      <c r="CJ26" s="54">
        <v>0</v>
      </c>
      <c r="CK26" s="54">
        <v>0</v>
      </c>
      <c r="CL26" s="54">
        <v>0</v>
      </c>
      <c r="CM26" s="54">
        <v>0</v>
      </c>
      <c r="CN26" s="54">
        <v>0</v>
      </c>
      <c r="CO26" s="54">
        <v>0</v>
      </c>
      <c r="CP26" s="54">
        <v>0</v>
      </c>
      <c r="CQ26" s="54">
        <v>0</v>
      </c>
      <c r="CR26" s="54">
        <v>0</v>
      </c>
      <c r="CS26" s="54">
        <v>0</v>
      </c>
    </row>
    <row r="27" spans="1:97" ht="18" customHeight="1" x14ac:dyDescent="0.2">
      <c r="A27" s="11">
        <v>22</v>
      </c>
      <c r="B27" s="11" t="s">
        <v>319</v>
      </c>
      <c r="C27" s="11" t="s">
        <v>320</v>
      </c>
      <c r="D27" s="11" t="s">
        <v>321</v>
      </c>
      <c r="E27" s="11" t="s">
        <v>322</v>
      </c>
      <c r="F27" s="11" t="s">
        <v>323</v>
      </c>
      <c r="G27" s="11" t="s">
        <v>324</v>
      </c>
      <c r="H27" s="11" t="s">
        <v>325</v>
      </c>
      <c r="I27" s="11" t="s">
        <v>326</v>
      </c>
      <c r="J27" s="11" t="s">
        <v>327</v>
      </c>
      <c r="K27" s="11" t="s">
        <v>328</v>
      </c>
      <c r="L27" s="11" t="s">
        <v>329</v>
      </c>
      <c r="M27" s="14" t="s">
        <v>330</v>
      </c>
      <c r="N27" s="14" t="s">
        <v>81</v>
      </c>
      <c r="O27" s="14" t="s">
        <v>55</v>
      </c>
      <c r="P27" s="14" t="s">
        <v>56</v>
      </c>
      <c r="Q27" s="14" t="s">
        <v>57</v>
      </c>
      <c r="R27" s="14" t="s">
        <v>58</v>
      </c>
      <c r="S27" s="14" t="s">
        <v>59</v>
      </c>
      <c r="T27" s="14" t="s">
        <v>63</v>
      </c>
      <c r="U27" s="14" t="s">
        <v>64</v>
      </c>
      <c r="V27" s="14" t="s">
        <v>65</v>
      </c>
      <c r="W27" s="14" t="s">
        <v>66</v>
      </c>
      <c r="X27" s="55">
        <f t="shared" si="4"/>
        <v>234</v>
      </c>
      <c r="Y27" s="54">
        <v>0</v>
      </c>
      <c r="Z27" s="54">
        <v>0</v>
      </c>
      <c r="AA27" s="54">
        <v>0</v>
      </c>
      <c r="AB27" s="54">
        <v>0</v>
      </c>
      <c r="AC27" s="54">
        <v>0</v>
      </c>
      <c r="AD27" s="54">
        <v>0</v>
      </c>
      <c r="AE27" s="54">
        <v>0</v>
      </c>
      <c r="AF27" s="54">
        <v>0</v>
      </c>
      <c r="AG27" s="54">
        <v>0</v>
      </c>
      <c r="AH27" s="54">
        <v>0</v>
      </c>
      <c r="AI27" s="54">
        <v>0</v>
      </c>
      <c r="AJ27" s="54">
        <v>0</v>
      </c>
      <c r="AK27" s="54">
        <v>0</v>
      </c>
      <c r="AL27" s="54">
        <v>0</v>
      </c>
      <c r="AM27" s="54">
        <v>0</v>
      </c>
      <c r="AN27" s="54">
        <v>0</v>
      </c>
      <c r="AO27" s="54">
        <v>0</v>
      </c>
      <c r="AP27" s="54">
        <v>0</v>
      </c>
      <c r="AQ27" s="54">
        <v>0</v>
      </c>
      <c r="AR27" s="54">
        <v>0</v>
      </c>
      <c r="AS27" s="54">
        <v>0</v>
      </c>
      <c r="AT27" s="54">
        <v>0</v>
      </c>
      <c r="AU27" s="54">
        <v>0</v>
      </c>
      <c r="AV27" s="54">
        <v>0</v>
      </c>
      <c r="AW27" s="54">
        <v>0</v>
      </c>
      <c r="AX27" s="54">
        <v>3</v>
      </c>
      <c r="AY27" s="54">
        <v>3</v>
      </c>
      <c r="AZ27" s="54">
        <v>3</v>
      </c>
      <c r="BA27" s="54">
        <v>6</v>
      </c>
      <c r="BB27" s="54">
        <v>6</v>
      </c>
      <c r="BC27" s="54">
        <v>6</v>
      </c>
      <c r="BD27" s="54">
        <v>10</v>
      </c>
      <c r="BE27" s="54">
        <v>10</v>
      </c>
      <c r="BF27" s="54">
        <v>10</v>
      </c>
      <c r="BG27" s="54">
        <v>20</v>
      </c>
      <c r="BH27" s="54">
        <v>20</v>
      </c>
      <c r="BI27" s="54">
        <v>20</v>
      </c>
      <c r="BJ27" s="54">
        <v>20</v>
      </c>
      <c r="BK27" s="54">
        <v>20</v>
      </c>
      <c r="BL27" s="54">
        <v>20</v>
      </c>
      <c r="BM27" s="54">
        <v>10</v>
      </c>
      <c r="BN27" s="54">
        <v>10</v>
      </c>
      <c r="BO27" s="54">
        <v>10</v>
      </c>
      <c r="BP27" s="54">
        <v>6</v>
      </c>
      <c r="BQ27" s="54">
        <v>6</v>
      </c>
      <c r="BR27" s="54">
        <v>6</v>
      </c>
      <c r="BS27" s="54">
        <v>3</v>
      </c>
      <c r="BT27" s="54">
        <v>3</v>
      </c>
      <c r="BU27" s="54">
        <v>3</v>
      </c>
      <c r="BV27" s="54">
        <v>0</v>
      </c>
      <c r="BW27" s="54">
        <v>0</v>
      </c>
      <c r="BX27" s="54">
        <v>0</v>
      </c>
      <c r="BY27" s="54">
        <v>0</v>
      </c>
      <c r="BZ27" s="54">
        <v>0</v>
      </c>
      <c r="CA27" s="54">
        <v>0</v>
      </c>
      <c r="CB27" s="54">
        <v>0</v>
      </c>
      <c r="CC27" s="54">
        <v>0</v>
      </c>
      <c r="CD27" s="54">
        <v>0</v>
      </c>
      <c r="CE27" s="54">
        <v>0</v>
      </c>
      <c r="CF27" s="54">
        <v>0</v>
      </c>
      <c r="CG27" s="54">
        <v>0</v>
      </c>
      <c r="CH27" s="54">
        <v>0</v>
      </c>
      <c r="CI27" s="54">
        <v>0</v>
      </c>
      <c r="CJ27" s="54">
        <v>0</v>
      </c>
      <c r="CK27" s="54">
        <v>0</v>
      </c>
      <c r="CL27" s="54">
        <v>0</v>
      </c>
      <c r="CM27" s="54">
        <v>0</v>
      </c>
      <c r="CN27" s="54">
        <v>0</v>
      </c>
      <c r="CO27" s="54">
        <v>0</v>
      </c>
      <c r="CP27" s="54">
        <v>0</v>
      </c>
      <c r="CQ27" s="54">
        <v>0</v>
      </c>
      <c r="CR27" s="54">
        <v>0</v>
      </c>
      <c r="CS27" s="54">
        <v>0</v>
      </c>
    </row>
    <row r="28" spans="1:97" ht="18" customHeight="1" x14ac:dyDescent="0.2">
      <c r="A28" s="11">
        <v>23</v>
      </c>
      <c r="B28" s="11" t="s">
        <v>331</v>
      </c>
      <c r="C28" s="11" t="s">
        <v>332</v>
      </c>
      <c r="D28" s="11" t="s">
        <v>333</v>
      </c>
      <c r="E28" s="11" t="s">
        <v>334</v>
      </c>
      <c r="F28" s="11" t="s">
        <v>335</v>
      </c>
      <c r="G28" s="11" t="s">
        <v>336</v>
      </c>
      <c r="H28" s="11" t="s">
        <v>337</v>
      </c>
      <c r="I28" s="11" t="s">
        <v>338</v>
      </c>
      <c r="J28" s="11" t="s">
        <v>339</v>
      </c>
      <c r="K28" s="11" t="s">
        <v>340</v>
      </c>
      <c r="L28" s="11" t="s">
        <v>341</v>
      </c>
      <c r="M28" s="14" t="s">
        <v>342</v>
      </c>
      <c r="N28" s="14" t="s">
        <v>81</v>
      </c>
      <c r="O28" s="14" t="s">
        <v>55</v>
      </c>
      <c r="P28" s="14" t="s">
        <v>56</v>
      </c>
      <c r="Q28" s="14" t="s">
        <v>57</v>
      </c>
      <c r="R28" s="14" t="s">
        <v>58</v>
      </c>
      <c r="S28" s="14" t="s">
        <v>59</v>
      </c>
      <c r="T28" s="14" t="s">
        <v>63</v>
      </c>
      <c r="U28" s="14" t="s">
        <v>64</v>
      </c>
      <c r="V28" s="14" t="s">
        <v>65</v>
      </c>
      <c r="W28" s="14" t="s">
        <v>66</v>
      </c>
      <c r="X28" s="55">
        <f t="shared" si="4"/>
        <v>234</v>
      </c>
      <c r="Y28" s="54">
        <v>0</v>
      </c>
      <c r="Z28" s="54">
        <v>0</v>
      </c>
      <c r="AA28" s="54">
        <v>0</v>
      </c>
      <c r="AB28" s="54">
        <v>0</v>
      </c>
      <c r="AC28" s="54">
        <v>0</v>
      </c>
      <c r="AD28" s="54">
        <v>0</v>
      </c>
      <c r="AE28" s="54">
        <v>0</v>
      </c>
      <c r="AF28" s="54">
        <v>0</v>
      </c>
      <c r="AG28" s="54">
        <v>0</v>
      </c>
      <c r="AH28" s="54">
        <v>0</v>
      </c>
      <c r="AI28" s="54">
        <v>0</v>
      </c>
      <c r="AJ28" s="54">
        <v>0</v>
      </c>
      <c r="AK28" s="54">
        <v>0</v>
      </c>
      <c r="AL28" s="54">
        <v>0</v>
      </c>
      <c r="AM28" s="54">
        <v>0</v>
      </c>
      <c r="AN28" s="54">
        <v>0</v>
      </c>
      <c r="AO28" s="54">
        <v>0</v>
      </c>
      <c r="AP28" s="54">
        <v>0</v>
      </c>
      <c r="AQ28" s="54">
        <v>0</v>
      </c>
      <c r="AR28" s="54">
        <v>0</v>
      </c>
      <c r="AS28" s="54">
        <v>0</v>
      </c>
      <c r="AT28" s="54">
        <v>0</v>
      </c>
      <c r="AU28" s="54">
        <v>0</v>
      </c>
      <c r="AV28" s="54">
        <v>0</v>
      </c>
      <c r="AW28" s="54">
        <v>0</v>
      </c>
      <c r="AX28" s="54">
        <v>3</v>
      </c>
      <c r="AY28" s="54">
        <v>3</v>
      </c>
      <c r="AZ28" s="54">
        <v>3</v>
      </c>
      <c r="BA28" s="54">
        <v>6</v>
      </c>
      <c r="BB28" s="54">
        <v>6</v>
      </c>
      <c r="BC28" s="54">
        <v>6</v>
      </c>
      <c r="BD28" s="54">
        <v>10</v>
      </c>
      <c r="BE28" s="54">
        <v>10</v>
      </c>
      <c r="BF28" s="54">
        <v>10</v>
      </c>
      <c r="BG28" s="54">
        <v>20</v>
      </c>
      <c r="BH28" s="54">
        <v>20</v>
      </c>
      <c r="BI28" s="54">
        <v>20</v>
      </c>
      <c r="BJ28" s="54">
        <v>20</v>
      </c>
      <c r="BK28" s="54">
        <v>20</v>
      </c>
      <c r="BL28" s="54">
        <v>20</v>
      </c>
      <c r="BM28" s="54">
        <v>10</v>
      </c>
      <c r="BN28" s="54">
        <v>10</v>
      </c>
      <c r="BO28" s="54">
        <v>10</v>
      </c>
      <c r="BP28" s="54">
        <v>6</v>
      </c>
      <c r="BQ28" s="54">
        <v>6</v>
      </c>
      <c r="BR28" s="54">
        <v>6</v>
      </c>
      <c r="BS28" s="54">
        <v>3</v>
      </c>
      <c r="BT28" s="54">
        <v>3</v>
      </c>
      <c r="BU28" s="54">
        <v>3</v>
      </c>
      <c r="BV28" s="54">
        <v>0</v>
      </c>
      <c r="BW28" s="54">
        <v>0</v>
      </c>
      <c r="BX28" s="54">
        <v>0</v>
      </c>
      <c r="BY28" s="54">
        <v>0</v>
      </c>
      <c r="BZ28" s="54">
        <v>0</v>
      </c>
      <c r="CA28" s="54">
        <v>0</v>
      </c>
      <c r="CB28" s="54">
        <v>0</v>
      </c>
      <c r="CC28" s="54">
        <v>0</v>
      </c>
      <c r="CD28" s="54">
        <v>0</v>
      </c>
      <c r="CE28" s="54">
        <v>0</v>
      </c>
      <c r="CF28" s="54">
        <v>0</v>
      </c>
      <c r="CG28" s="54">
        <v>0</v>
      </c>
      <c r="CH28" s="54">
        <v>0</v>
      </c>
      <c r="CI28" s="54">
        <v>0</v>
      </c>
      <c r="CJ28" s="54">
        <v>0</v>
      </c>
      <c r="CK28" s="54">
        <v>0</v>
      </c>
      <c r="CL28" s="54">
        <v>0</v>
      </c>
      <c r="CM28" s="54">
        <v>0</v>
      </c>
      <c r="CN28" s="54">
        <v>0</v>
      </c>
      <c r="CO28" s="54">
        <v>0</v>
      </c>
      <c r="CP28" s="54">
        <v>0</v>
      </c>
      <c r="CQ28" s="54">
        <v>0</v>
      </c>
      <c r="CR28" s="54">
        <v>0</v>
      </c>
      <c r="CS28" s="54">
        <v>0</v>
      </c>
    </row>
    <row r="29" spans="1:97" ht="18" customHeight="1" x14ac:dyDescent="0.2">
      <c r="A29" s="11">
        <v>24</v>
      </c>
      <c r="B29" s="11" t="s">
        <v>343</v>
      </c>
      <c r="C29" s="11" t="s">
        <v>344</v>
      </c>
      <c r="D29" s="11" t="s">
        <v>345</v>
      </c>
      <c r="E29" s="11" t="s">
        <v>346</v>
      </c>
      <c r="F29" s="11" t="s">
        <v>347</v>
      </c>
      <c r="G29" s="11" t="s">
        <v>348</v>
      </c>
      <c r="H29" s="11" t="s">
        <v>349</v>
      </c>
      <c r="I29" s="11" t="s">
        <v>350</v>
      </c>
      <c r="J29" s="11" t="s">
        <v>351</v>
      </c>
      <c r="K29" s="11" t="s">
        <v>352</v>
      </c>
      <c r="L29" s="11" t="s">
        <v>353</v>
      </c>
      <c r="M29" s="14" t="s">
        <v>354</v>
      </c>
      <c r="N29" s="14" t="s">
        <v>81</v>
      </c>
      <c r="O29" s="14" t="s">
        <v>55</v>
      </c>
      <c r="P29" s="14" t="s">
        <v>56</v>
      </c>
      <c r="Q29" s="14" t="s">
        <v>57</v>
      </c>
      <c r="R29" s="14" t="s">
        <v>58</v>
      </c>
      <c r="S29" s="14" t="s">
        <v>59</v>
      </c>
      <c r="T29" s="14" t="s">
        <v>63</v>
      </c>
      <c r="U29" s="14" t="s">
        <v>64</v>
      </c>
      <c r="V29" s="14" t="s">
        <v>65</v>
      </c>
      <c r="W29" s="14" t="s">
        <v>66</v>
      </c>
      <c r="X29" s="55">
        <f t="shared" si="4"/>
        <v>234</v>
      </c>
      <c r="Y29" s="54">
        <v>0</v>
      </c>
      <c r="Z29" s="54">
        <v>0</v>
      </c>
      <c r="AA29" s="54">
        <v>0</v>
      </c>
      <c r="AB29" s="54">
        <v>0</v>
      </c>
      <c r="AC29" s="54">
        <v>0</v>
      </c>
      <c r="AD29" s="54">
        <v>0</v>
      </c>
      <c r="AE29" s="54">
        <v>0</v>
      </c>
      <c r="AF29" s="54">
        <v>0</v>
      </c>
      <c r="AG29" s="54">
        <v>0</v>
      </c>
      <c r="AH29" s="54">
        <v>0</v>
      </c>
      <c r="AI29" s="54">
        <v>0</v>
      </c>
      <c r="AJ29" s="54">
        <v>0</v>
      </c>
      <c r="AK29" s="54">
        <v>0</v>
      </c>
      <c r="AL29" s="54">
        <v>0</v>
      </c>
      <c r="AM29" s="54">
        <v>0</v>
      </c>
      <c r="AN29" s="54">
        <v>0</v>
      </c>
      <c r="AO29" s="54">
        <v>0</v>
      </c>
      <c r="AP29" s="54">
        <v>0</v>
      </c>
      <c r="AQ29" s="54">
        <v>0</v>
      </c>
      <c r="AR29" s="54">
        <v>0</v>
      </c>
      <c r="AS29" s="54">
        <v>0</v>
      </c>
      <c r="AT29" s="54">
        <v>0</v>
      </c>
      <c r="AU29" s="54">
        <v>0</v>
      </c>
      <c r="AV29" s="54">
        <v>0</v>
      </c>
      <c r="AW29" s="54">
        <v>0</v>
      </c>
      <c r="AX29" s="54">
        <v>3</v>
      </c>
      <c r="AY29" s="54">
        <v>3</v>
      </c>
      <c r="AZ29" s="54">
        <v>3</v>
      </c>
      <c r="BA29" s="54">
        <v>6</v>
      </c>
      <c r="BB29" s="54">
        <v>6</v>
      </c>
      <c r="BC29" s="54">
        <v>6</v>
      </c>
      <c r="BD29" s="54">
        <v>10</v>
      </c>
      <c r="BE29" s="54">
        <v>10</v>
      </c>
      <c r="BF29" s="54">
        <v>10</v>
      </c>
      <c r="BG29" s="54">
        <v>20</v>
      </c>
      <c r="BH29" s="54">
        <v>20</v>
      </c>
      <c r="BI29" s="54">
        <v>20</v>
      </c>
      <c r="BJ29" s="54">
        <v>20</v>
      </c>
      <c r="BK29" s="54">
        <v>20</v>
      </c>
      <c r="BL29" s="54">
        <v>20</v>
      </c>
      <c r="BM29" s="54">
        <v>10</v>
      </c>
      <c r="BN29" s="54">
        <v>10</v>
      </c>
      <c r="BO29" s="54">
        <v>10</v>
      </c>
      <c r="BP29" s="54">
        <v>6</v>
      </c>
      <c r="BQ29" s="54">
        <v>6</v>
      </c>
      <c r="BR29" s="54">
        <v>6</v>
      </c>
      <c r="BS29" s="54">
        <v>3</v>
      </c>
      <c r="BT29" s="54">
        <v>3</v>
      </c>
      <c r="BU29" s="54">
        <v>3</v>
      </c>
      <c r="BV29" s="54">
        <v>0</v>
      </c>
      <c r="BW29" s="54">
        <v>0</v>
      </c>
      <c r="BX29" s="54">
        <v>0</v>
      </c>
      <c r="BY29" s="54">
        <v>0</v>
      </c>
      <c r="BZ29" s="54">
        <v>0</v>
      </c>
      <c r="CA29" s="54">
        <v>0</v>
      </c>
      <c r="CB29" s="54">
        <v>0</v>
      </c>
      <c r="CC29" s="54">
        <v>0</v>
      </c>
      <c r="CD29" s="54">
        <v>0</v>
      </c>
      <c r="CE29" s="54">
        <v>0</v>
      </c>
      <c r="CF29" s="54">
        <v>0</v>
      </c>
      <c r="CG29" s="54">
        <v>0</v>
      </c>
      <c r="CH29" s="54">
        <v>0</v>
      </c>
      <c r="CI29" s="54">
        <v>0</v>
      </c>
      <c r="CJ29" s="54">
        <v>0</v>
      </c>
      <c r="CK29" s="54">
        <v>0</v>
      </c>
      <c r="CL29" s="54">
        <v>0</v>
      </c>
      <c r="CM29" s="54">
        <v>0</v>
      </c>
      <c r="CN29" s="54">
        <v>0</v>
      </c>
      <c r="CO29" s="54">
        <v>0</v>
      </c>
      <c r="CP29" s="54">
        <v>0</v>
      </c>
      <c r="CQ29" s="54">
        <v>0</v>
      </c>
      <c r="CR29" s="54">
        <v>0</v>
      </c>
      <c r="CS29" s="54">
        <v>0</v>
      </c>
    </row>
    <row r="30" spans="1:97" ht="18" customHeight="1" x14ac:dyDescent="0.2">
      <c r="A30" s="11">
        <v>25</v>
      </c>
      <c r="B30" s="11" t="s">
        <v>355</v>
      </c>
      <c r="C30" s="11" t="s">
        <v>356</v>
      </c>
      <c r="D30" s="11" t="s">
        <v>357</v>
      </c>
      <c r="E30" s="11" t="s">
        <v>358</v>
      </c>
      <c r="F30" s="11" t="s">
        <v>359</v>
      </c>
      <c r="G30" s="11" t="s">
        <v>360</v>
      </c>
      <c r="H30" s="11" t="s">
        <v>361</v>
      </c>
      <c r="I30" s="11" t="s">
        <v>362</v>
      </c>
      <c r="J30" s="11" t="s">
        <v>363</v>
      </c>
      <c r="K30" s="11" t="s">
        <v>364</v>
      </c>
      <c r="L30" s="11" t="s">
        <v>365</v>
      </c>
      <c r="M30" s="14" t="s">
        <v>366</v>
      </c>
      <c r="N30" s="14" t="s">
        <v>81</v>
      </c>
      <c r="O30" s="14" t="s">
        <v>55</v>
      </c>
      <c r="P30" s="14" t="s">
        <v>56</v>
      </c>
      <c r="Q30" s="14" t="s">
        <v>57</v>
      </c>
      <c r="R30" s="14" t="s">
        <v>58</v>
      </c>
      <c r="S30" s="14" t="s">
        <v>59</v>
      </c>
      <c r="T30" s="14" t="s">
        <v>63</v>
      </c>
      <c r="U30" s="14" t="s">
        <v>64</v>
      </c>
      <c r="V30" s="14" t="s">
        <v>65</v>
      </c>
      <c r="W30" s="14" t="s">
        <v>66</v>
      </c>
      <c r="X30" s="55">
        <f t="shared" si="4"/>
        <v>234</v>
      </c>
      <c r="Y30" s="54">
        <v>0</v>
      </c>
      <c r="Z30" s="54">
        <v>0</v>
      </c>
      <c r="AA30" s="54">
        <v>0</v>
      </c>
      <c r="AB30" s="54">
        <v>0</v>
      </c>
      <c r="AC30" s="54">
        <v>0</v>
      </c>
      <c r="AD30" s="54">
        <v>0</v>
      </c>
      <c r="AE30" s="54">
        <v>0</v>
      </c>
      <c r="AF30" s="54">
        <v>0</v>
      </c>
      <c r="AG30" s="54">
        <v>0</v>
      </c>
      <c r="AH30" s="54">
        <v>0</v>
      </c>
      <c r="AI30" s="54">
        <v>0</v>
      </c>
      <c r="AJ30" s="54">
        <v>0</v>
      </c>
      <c r="AK30" s="54">
        <v>0</v>
      </c>
      <c r="AL30" s="54">
        <v>0</v>
      </c>
      <c r="AM30" s="54">
        <v>0</v>
      </c>
      <c r="AN30" s="54">
        <v>0</v>
      </c>
      <c r="AO30" s="54">
        <v>0</v>
      </c>
      <c r="AP30" s="54">
        <v>0</v>
      </c>
      <c r="AQ30" s="54">
        <v>0</v>
      </c>
      <c r="AR30" s="54">
        <v>0</v>
      </c>
      <c r="AS30" s="54">
        <v>0</v>
      </c>
      <c r="AT30" s="54">
        <v>0</v>
      </c>
      <c r="AU30" s="54">
        <v>0</v>
      </c>
      <c r="AV30" s="54">
        <v>0</v>
      </c>
      <c r="AW30" s="54">
        <v>0</v>
      </c>
      <c r="AX30" s="54">
        <v>3</v>
      </c>
      <c r="AY30" s="54">
        <v>3</v>
      </c>
      <c r="AZ30" s="54">
        <v>3</v>
      </c>
      <c r="BA30" s="54">
        <v>6</v>
      </c>
      <c r="BB30" s="54">
        <v>6</v>
      </c>
      <c r="BC30" s="54">
        <v>6</v>
      </c>
      <c r="BD30" s="54">
        <v>10</v>
      </c>
      <c r="BE30" s="54">
        <v>10</v>
      </c>
      <c r="BF30" s="54">
        <v>10</v>
      </c>
      <c r="BG30" s="54">
        <v>20</v>
      </c>
      <c r="BH30" s="54">
        <v>20</v>
      </c>
      <c r="BI30" s="54">
        <v>20</v>
      </c>
      <c r="BJ30" s="54">
        <v>20</v>
      </c>
      <c r="BK30" s="54">
        <v>20</v>
      </c>
      <c r="BL30" s="54">
        <v>20</v>
      </c>
      <c r="BM30" s="54">
        <v>10</v>
      </c>
      <c r="BN30" s="54">
        <v>10</v>
      </c>
      <c r="BO30" s="54">
        <v>10</v>
      </c>
      <c r="BP30" s="54">
        <v>6</v>
      </c>
      <c r="BQ30" s="54">
        <v>6</v>
      </c>
      <c r="BR30" s="54">
        <v>6</v>
      </c>
      <c r="BS30" s="54">
        <v>3</v>
      </c>
      <c r="BT30" s="54">
        <v>3</v>
      </c>
      <c r="BU30" s="54">
        <v>3</v>
      </c>
      <c r="BV30" s="54">
        <v>0</v>
      </c>
      <c r="BW30" s="54">
        <v>0</v>
      </c>
      <c r="BX30" s="54">
        <v>0</v>
      </c>
      <c r="BY30" s="54">
        <v>0</v>
      </c>
      <c r="BZ30" s="54">
        <v>0</v>
      </c>
      <c r="CA30" s="54">
        <v>0</v>
      </c>
      <c r="CB30" s="54">
        <v>0</v>
      </c>
      <c r="CC30" s="54">
        <v>0</v>
      </c>
      <c r="CD30" s="54">
        <v>0</v>
      </c>
      <c r="CE30" s="54">
        <v>0</v>
      </c>
      <c r="CF30" s="54">
        <v>0</v>
      </c>
      <c r="CG30" s="54">
        <v>0</v>
      </c>
      <c r="CH30" s="54">
        <v>0</v>
      </c>
      <c r="CI30" s="54">
        <v>0</v>
      </c>
      <c r="CJ30" s="54">
        <v>0</v>
      </c>
      <c r="CK30" s="54">
        <v>0</v>
      </c>
      <c r="CL30" s="54">
        <v>0</v>
      </c>
      <c r="CM30" s="54">
        <v>0</v>
      </c>
      <c r="CN30" s="54">
        <v>0</v>
      </c>
      <c r="CO30" s="54">
        <v>0</v>
      </c>
      <c r="CP30" s="54">
        <v>0</v>
      </c>
      <c r="CQ30" s="54">
        <v>0</v>
      </c>
      <c r="CR30" s="54">
        <v>0</v>
      </c>
      <c r="CS30" s="54">
        <v>0</v>
      </c>
    </row>
    <row r="31" spans="1:97" ht="18" customHeight="1" x14ac:dyDescent="0.2">
      <c r="A31" s="11">
        <v>26</v>
      </c>
      <c r="B31" s="11" t="s">
        <v>367</v>
      </c>
      <c r="C31" s="11" t="s">
        <v>368</v>
      </c>
      <c r="D31" s="11" t="s">
        <v>369</v>
      </c>
      <c r="E31" s="11" t="s">
        <v>370</v>
      </c>
      <c r="F31" s="11" t="s">
        <v>371</v>
      </c>
      <c r="G31" s="11" t="s">
        <v>372</v>
      </c>
      <c r="H31" s="11" t="s">
        <v>373</v>
      </c>
      <c r="I31" s="11" t="s">
        <v>374</v>
      </c>
      <c r="J31" s="11" t="s">
        <v>375</v>
      </c>
      <c r="K31" s="11" t="s">
        <v>376</v>
      </c>
      <c r="L31" s="11" t="s">
        <v>377</v>
      </c>
      <c r="M31" s="14" t="s">
        <v>378</v>
      </c>
      <c r="N31" s="14" t="s">
        <v>81</v>
      </c>
      <c r="O31" s="14" t="s">
        <v>55</v>
      </c>
      <c r="P31" s="14" t="s">
        <v>56</v>
      </c>
      <c r="Q31" s="14" t="s">
        <v>57</v>
      </c>
      <c r="R31" s="14" t="s">
        <v>58</v>
      </c>
      <c r="S31" s="14" t="s">
        <v>59</v>
      </c>
      <c r="T31" s="14" t="s">
        <v>63</v>
      </c>
      <c r="U31" s="14" t="s">
        <v>64</v>
      </c>
      <c r="V31" s="14" t="s">
        <v>65</v>
      </c>
      <c r="W31" s="14" t="s">
        <v>66</v>
      </c>
      <c r="X31" s="55">
        <f t="shared" si="4"/>
        <v>234</v>
      </c>
      <c r="Y31" s="54">
        <v>0</v>
      </c>
      <c r="Z31" s="54">
        <v>0</v>
      </c>
      <c r="AA31" s="54">
        <v>0</v>
      </c>
      <c r="AB31" s="54">
        <v>0</v>
      </c>
      <c r="AC31" s="54">
        <v>0</v>
      </c>
      <c r="AD31" s="54">
        <v>0</v>
      </c>
      <c r="AE31" s="54">
        <v>0</v>
      </c>
      <c r="AF31" s="54">
        <v>0</v>
      </c>
      <c r="AG31" s="54">
        <v>0</v>
      </c>
      <c r="AH31" s="54">
        <v>0</v>
      </c>
      <c r="AI31" s="54">
        <v>0</v>
      </c>
      <c r="AJ31" s="54">
        <v>0</v>
      </c>
      <c r="AK31" s="54">
        <v>0</v>
      </c>
      <c r="AL31" s="54">
        <v>0</v>
      </c>
      <c r="AM31" s="54">
        <v>0</v>
      </c>
      <c r="AN31" s="54">
        <v>0</v>
      </c>
      <c r="AO31" s="54">
        <v>0</v>
      </c>
      <c r="AP31" s="54">
        <v>0</v>
      </c>
      <c r="AQ31" s="54">
        <v>0</v>
      </c>
      <c r="AR31" s="54">
        <v>0</v>
      </c>
      <c r="AS31" s="54">
        <v>0</v>
      </c>
      <c r="AT31" s="54">
        <v>0</v>
      </c>
      <c r="AU31" s="54">
        <v>0</v>
      </c>
      <c r="AV31" s="54">
        <v>0</v>
      </c>
      <c r="AW31" s="54">
        <v>0</v>
      </c>
      <c r="AX31" s="54">
        <v>3</v>
      </c>
      <c r="AY31" s="54">
        <v>3</v>
      </c>
      <c r="AZ31" s="54">
        <v>3</v>
      </c>
      <c r="BA31" s="54">
        <v>6</v>
      </c>
      <c r="BB31" s="54">
        <v>6</v>
      </c>
      <c r="BC31" s="54">
        <v>6</v>
      </c>
      <c r="BD31" s="54">
        <v>10</v>
      </c>
      <c r="BE31" s="54">
        <v>10</v>
      </c>
      <c r="BF31" s="54">
        <v>10</v>
      </c>
      <c r="BG31" s="54">
        <v>20</v>
      </c>
      <c r="BH31" s="54">
        <v>20</v>
      </c>
      <c r="BI31" s="54">
        <v>20</v>
      </c>
      <c r="BJ31" s="54">
        <v>20</v>
      </c>
      <c r="BK31" s="54">
        <v>20</v>
      </c>
      <c r="BL31" s="54">
        <v>20</v>
      </c>
      <c r="BM31" s="54">
        <v>10</v>
      </c>
      <c r="BN31" s="54">
        <v>10</v>
      </c>
      <c r="BO31" s="54">
        <v>10</v>
      </c>
      <c r="BP31" s="54">
        <v>6</v>
      </c>
      <c r="BQ31" s="54">
        <v>6</v>
      </c>
      <c r="BR31" s="54">
        <v>6</v>
      </c>
      <c r="BS31" s="54">
        <v>3</v>
      </c>
      <c r="BT31" s="54">
        <v>3</v>
      </c>
      <c r="BU31" s="54">
        <v>3</v>
      </c>
      <c r="BV31" s="54">
        <v>0</v>
      </c>
      <c r="BW31" s="54">
        <v>0</v>
      </c>
      <c r="BX31" s="54">
        <v>0</v>
      </c>
      <c r="BY31" s="54">
        <v>0</v>
      </c>
      <c r="BZ31" s="54">
        <v>0</v>
      </c>
      <c r="CA31" s="54">
        <v>0</v>
      </c>
      <c r="CB31" s="54">
        <v>0</v>
      </c>
      <c r="CC31" s="54">
        <v>0</v>
      </c>
      <c r="CD31" s="54">
        <v>0</v>
      </c>
      <c r="CE31" s="54">
        <v>0</v>
      </c>
      <c r="CF31" s="54">
        <v>0</v>
      </c>
      <c r="CG31" s="54">
        <v>0</v>
      </c>
      <c r="CH31" s="54">
        <v>0</v>
      </c>
      <c r="CI31" s="54">
        <v>0</v>
      </c>
      <c r="CJ31" s="54">
        <v>0</v>
      </c>
      <c r="CK31" s="54">
        <v>0</v>
      </c>
      <c r="CL31" s="54">
        <v>0</v>
      </c>
      <c r="CM31" s="54">
        <v>0</v>
      </c>
      <c r="CN31" s="54">
        <v>0</v>
      </c>
      <c r="CO31" s="54">
        <v>0</v>
      </c>
      <c r="CP31" s="54">
        <v>0</v>
      </c>
      <c r="CQ31" s="54">
        <v>0</v>
      </c>
      <c r="CR31" s="54">
        <v>0</v>
      </c>
      <c r="CS31" s="54">
        <v>0</v>
      </c>
    </row>
    <row r="32" spans="1:97" ht="18" customHeight="1" x14ac:dyDescent="0.2">
      <c r="A32" s="11">
        <v>27</v>
      </c>
      <c r="B32" s="11" t="s">
        <v>379</v>
      </c>
      <c r="C32" s="11" t="s">
        <v>380</v>
      </c>
      <c r="D32" s="11" t="s">
        <v>381</v>
      </c>
      <c r="E32" s="11" t="s">
        <v>382</v>
      </c>
      <c r="F32" s="11" t="s">
        <v>383</v>
      </c>
      <c r="G32" s="11" t="s">
        <v>384</v>
      </c>
      <c r="H32" s="11" t="s">
        <v>385</v>
      </c>
      <c r="I32" s="11" t="s">
        <v>386</v>
      </c>
      <c r="J32" s="11" t="s">
        <v>387</v>
      </c>
      <c r="K32" s="11" t="s">
        <v>388</v>
      </c>
      <c r="L32" s="11" t="s">
        <v>389</v>
      </c>
      <c r="M32" s="14" t="s">
        <v>390</v>
      </c>
      <c r="N32" s="14" t="s">
        <v>81</v>
      </c>
      <c r="O32" s="14" t="s">
        <v>55</v>
      </c>
      <c r="P32" s="14" t="s">
        <v>56</v>
      </c>
      <c r="Q32" s="14" t="s">
        <v>57</v>
      </c>
      <c r="R32" s="14" t="s">
        <v>58</v>
      </c>
      <c r="S32" s="14" t="s">
        <v>59</v>
      </c>
      <c r="T32" s="14" t="s">
        <v>63</v>
      </c>
      <c r="U32" s="14" t="s">
        <v>64</v>
      </c>
      <c r="V32" s="14" t="s">
        <v>65</v>
      </c>
      <c r="W32" s="14" t="s">
        <v>66</v>
      </c>
      <c r="X32" s="55">
        <f t="shared" si="4"/>
        <v>234</v>
      </c>
      <c r="Y32" s="54">
        <v>0</v>
      </c>
      <c r="Z32" s="54">
        <v>0</v>
      </c>
      <c r="AA32" s="54">
        <v>0</v>
      </c>
      <c r="AB32" s="54">
        <v>0</v>
      </c>
      <c r="AC32" s="54">
        <v>0</v>
      </c>
      <c r="AD32" s="54">
        <v>0</v>
      </c>
      <c r="AE32" s="54">
        <v>0</v>
      </c>
      <c r="AF32" s="54">
        <v>0</v>
      </c>
      <c r="AG32" s="54">
        <v>0</v>
      </c>
      <c r="AH32" s="54">
        <v>0</v>
      </c>
      <c r="AI32" s="54">
        <v>0</v>
      </c>
      <c r="AJ32" s="54">
        <v>0</v>
      </c>
      <c r="AK32" s="54">
        <v>0</v>
      </c>
      <c r="AL32" s="54">
        <v>0</v>
      </c>
      <c r="AM32" s="54">
        <v>0</v>
      </c>
      <c r="AN32" s="54">
        <v>0</v>
      </c>
      <c r="AO32" s="54">
        <v>0</v>
      </c>
      <c r="AP32" s="54">
        <v>0</v>
      </c>
      <c r="AQ32" s="54">
        <v>0</v>
      </c>
      <c r="AR32" s="54">
        <v>0</v>
      </c>
      <c r="AS32" s="54">
        <v>0</v>
      </c>
      <c r="AT32" s="54">
        <v>0</v>
      </c>
      <c r="AU32" s="54">
        <v>0</v>
      </c>
      <c r="AV32" s="54">
        <v>0</v>
      </c>
      <c r="AW32" s="54">
        <v>0</v>
      </c>
      <c r="AX32" s="54">
        <v>3</v>
      </c>
      <c r="AY32" s="54">
        <v>3</v>
      </c>
      <c r="AZ32" s="54">
        <v>3</v>
      </c>
      <c r="BA32" s="54">
        <v>6</v>
      </c>
      <c r="BB32" s="54">
        <v>6</v>
      </c>
      <c r="BC32" s="54">
        <v>6</v>
      </c>
      <c r="BD32" s="54">
        <v>10</v>
      </c>
      <c r="BE32" s="54">
        <v>10</v>
      </c>
      <c r="BF32" s="54">
        <v>10</v>
      </c>
      <c r="BG32" s="54">
        <v>20</v>
      </c>
      <c r="BH32" s="54">
        <v>20</v>
      </c>
      <c r="BI32" s="54">
        <v>20</v>
      </c>
      <c r="BJ32" s="54">
        <v>20</v>
      </c>
      <c r="BK32" s="54">
        <v>20</v>
      </c>
      <c r="BL32" s="54">
        <v>20</v>
      </c>
      <c r="BM32" s="54">
        <v>10</v>
      </c>
      <c r="BN32" s="54">
        <v>10</v>
      </c>
      <c r="BO32" s="54">
        <v>10</v>
      </c>
      <c r="BP32" s="54">
        <v>6</v>
      </c>
      <c r="BQ32" s="54">
        <v>6</v>
      </c>
      <c r="BR32" s="54">
        <v>6</v>
      </c>
      <c r="BS32" s="54">
        <v>3</v>
      </c>
      <c r="BT32" s="54">
        <v>3</v>
      </c>
      <c r="BU32" s="54">
        <v>3</v>
      </c>
      <c r="BV32" s="54">
        <v>0</v>
      </c>
      <c r="BW32" s="54">
        <v>0</v>
      </c>
      <c r="BX32" s="54">
        <v>0</v>
      </c>
      <c r="BY32" s="54">
        <v>0</v>
      </c>
      <c r="BZ32" s="54">
        <v>0</v>
      </c>
      <c r="CA32" s="54">
        <v>0</v>
      </c>
      <c r="CB32" s="54">
        <v>0</v>
      </c>
      <c r="CC32" s="54">
        <v>0</v>
      </c>
      <c r="CD32" s="54">
        <v>0</v>
      </c>
      <c r="CE32" s="54">
        <v>0</v>
      </c>
      <c r="CF32" s="54">
        <v>0</v>
      </c>
      <c r="CG32" s="54">
        <v>0</v>
      </c>
      <c r="CH32" s="54">
        <v>0</v>
      </c>
      <c r="CI32" s="54">
        <v>0</v>
      </c>
      <c r="CJ32" s="54">
        <v>0</v>
      </c>
      <c r="CK32" s="54">
        <v>0</v>
      </c>
      <c r="CL32" s="54">
        <v>0</v>
      </c>
      <c r="CM32" s="54">
        <v>0</v>
      </c>
      <c r="CN32" s="54">
        <v>0</v>
      </c>
      <c r="CO32" s="54">
        <v>0</v>
      </c>
      <c r="CP32" s="54">
        <v>0</v>
      </c>
      <c r="CQ32" s="54">
        <v>0</v>
      </c>
      <c r="CR32" s="54">
        <v>0</v>
      </c>
      <c r="CS32" s="54">
        <v>0</v>
      </c>
    </row>
    <row r="33" spans="1:97" ht="18" customHeight="1" x14ac:dyDescent="0.2">
      <c r="A33" s="11">
        <v>28</v>
      </c>
      <c r="B33" s="11" t="s">
        <v>391</v>
      </c>
      <c r="C33" s="11" t="s">
        <v>392</v>
      </c>
      <c r="D33" s="11" t="s">
        <v>393</v>
      </c>
      <c r="E33" s="11" t="s">
        <v>394</v>
      </c>
      <c r="F33" s="11" t="s">
        <v>395</v>
      </c>
      <c r="G33" s="11" t="s">
        <v>396</v>
      </c>
      <c r="H33" s="11" t="s">
        <v>397</v>
      </c>
      <c r="I33" s="11" t="s">
        <v>398</v>
      </c>
      <c r="J33" s="11" t="s">
        <v>399</v>
      </c>
      <c r="K33" s="11" t="s">
        <v>400</v>
      </c>
      <c r="L33" s="11" t="s">
        <v>401</v>
      </c>
      <c r="M33" s="14" t="s">
        <v>402</v>
      </c>
      <c r="N33" s="14" t="s">
        <v>81</v>
      </c>
      <c r="O33" s="14" t="s">
        <v>55</v>
      </c>
      <c r="P33" s="14" t="s">
        <v>56</v>
      </c>
      <c r="Q33" s="14" t="s">
        <v>57</v>
      </c>
      <c r="R33" s="14" t="s">
        <v>58</v>
      </c>
      <c r="S33" s="14" t="s">
        <v>59</v>
      </c>
      <c r="T33" s="14" t="s">
        <v>63</v>
      </c>
      <c r="U33" s="14" t="s">
        <v>64</v>
      </c>
      <c r="V33" s="14" t="s">
        <v>65</v>
      </c>
      <c r="W33" s="14" t="s">
        <v>66</v>
      </c>
      <c r="X33" s="55">
        <f t="shared" si="4"/>
        <v>234</v>
      </c>
      <c r="Y33" s="54">
        <v>0</v>
      </c>
      <c r="Z33" s="54">
        <v>0</v>
      </c>
      <c r="AA33" s="54">
        <v>0</v>
      </c>
      <c r="AB33" s="54">
        <v>0</v>
      </c>
      <c r="AC33" s="54">
        <v>0</v>
      </c>
      <c r="AD33" s="54">
        <v>0</v>
      </c>
      <c r="AE33" s="54">
        <v>0</v>
      </c>
      <c r="AF33" s="54">
        <v>0</v>
      </c>
      <c r="AG33" s="54">
        <v>0</v>
      </c>
      <c r="AH33" s="54">
        <v>0</v>
      </c>
      <c r="AI33" s="54">
        <v>0</v>
      </c>
      <c r="AJ33" s="54">
        <v>0</v>
      </c>
      <c r="AK33" s="54">
        <v>0</v>
      </c>
      <c r="AL33" s="54">
        <v>0</v>
      </c>
      <c r="AM33" s="54">
        <v>0</v>
      </c>
      <c r="AN33" s="54">
        <v>0</v>
      </c>
      <c r="AO33" s="54">
        <v>0</v>
      </c>
      <c r="AP33" s="54">
        <v>0</v>
      </c>
      <c r="AQ33" s="54">
        <v>0</v>
      </c>
      <c r="AR33" s="54">
        <v>0</v>
      </c>
      <c r="AS33" s="54">
        <v>0</v>
      </c>
      <c r="AT33" s="54">
        <v>0</v>
      </c>
      <c r="AU33" s="54">
        <v>0</v>
      </c>
      <c r="AV33" s="54">
        <v>0</v>
      </c>
      <c r="AW33" s="54">
        <v>0</v>
      </c>
      <c r="AX33" s="54">
        <v>3</v>
      </c>
      <c r="AY33" s="54">
        <v>3</v>
      </c>
      <c r="AZ33" s="54">
        <v>3</v>
      </c>
      <c r="BA33" s="54">
        <v>6</v>
      </c>
      <c r="BB33" s="54">
        <v>6</v>
      </c>
      <c r="BC33" s="54">
        <v>6</v>
      </c>
      <c r="BD33" s="54">
        <v>10</v>
      </c>
      <c r="BE33" s="54">
        <v>10</v>
      </c>
      <c r="BF33" s="54">
        <v>10</v>
      </c>
      <c r="BG33" s="54">
        <v>20</v>
      </c>
      <c r="BH33" s="54">
        <v>20</v>
      </c>
      <c r="BI33" s="54">
        <v>20</v>
      </c>
      <c r="BJ33" s="54">
        <v>20</v>
      </c>
      <c r="BK33" s="54">
        <v>20</v>
      </c>
      <c r="BL33" s="54">
        <v>20</v>
      </c>
      <c r="BM33" s="54">
        <v>10</v>
      </c>
      <c r="BN33" s="54">
        <v>10</v>
      </c>
      <c r="BO33" s="54">
        <v>10</v>
      </c>
      <c r="BP33" s="54">
        <v>6</v>
      </c>
      <c r="BQ33" s="54">
        <v>6</v>
      </c>
      <c r="BR33" s="54">
        <v>6</v>
      </c>
      <c r="BS33" s="54">
        <v>3</v>
      </c>
      <c r="BT33" s="54">
        <v>3</v>
      </c>
      <c r="BU33" s="54">
        <v>3</v>
      </c>
      <c r="BV33" s="54">
        <v>0</v>
      </c>
      <c r="BW33" s="54">
        <v>0</v>
      </c>
      <c r="BX33" s="54">
        <v>0</v>
      </c>
      <c r="BY33" s="54">
        <v>0</v>
      </c>
      <c r="BZ33" s="54">
        <v>0</v>
      </c>
      <c r="CA33" s="54">
        <v>0</v>
      </c>
      <c r="CB33" s="54">
        <v>0</v>
      </c>
      <c r="CC33" s="54">
        <v>0</v>
      </c>
      <c r="CD33" s="54">
        <v>0</v>
      </c>
      <c r="CE33" s="54">
        <v>0</v>
      </c>
      <c r="CF33" s="54">
        <v>0</v>
      </c>
      <c r="CG33" s="54">
        <v>0</v>
      </c>
      <c r="CH33" s="54">
        <v>0</v>
      </c>
      <c r="CI33" s="54">
        <v>0</v>
      </c>
      <c r="CJ33" s="54">
        <v>0</v>
      </c>
      <c r="CK33" s="54">
        <v>0</v>
      </c>
      <c r="CL33" s="54">
        <v>0</v>
      </c>
      <c r="CM33" s="54">
        <v>0</v>
      </c>
      <c r="CN33" s="54">
        <v>0</v>
      </c>
      <c r="CO33" s="54">
        <v>0</v>
      </c>
      <c r="CP33" s="54">
        <v>0</v>
      </c>
      <c r="CQ33" s="54">
        <v>0</v>
      </c>
      <c r="CR33" s="54">
        <v>0</v>
      </c>
      <c r="CS33" s="54">
        <v>0</v>
      </c>
    </row>
    <row r="34" spans="1:97" ht="18" customHeight="1" x14ac:dyDescent="0.2">
      <c r="A34" s="11">
        <v>29</v>
      </c>
      <c r="B34" s="11" t="s">
        <v>403</v>
      </c>
      <c r="C34" s="11" t="s">
        <v>404</v>
      </c>
      <c r="D34" s="11" t="s">
        <v>405</v>
      </c>
      <c r="E34" s="11" t="s">
        <v>406</v>
      </c>
      <c r="F34" s="11" t="s">
        <v>407</v>
      </c>
      <c r="G34" s="11" t="s">
        <v>408</v>
      </c>
      <c r="H34" s="11" t="s">
        <v>409</v>
      </c>
      <c r="I34" s="11" t="s">
        <v>410</v>
      </c>
      <c r="J34" s="11" t="s">
        <v>411</v>
      </c>
      <c r="K34" s="11" t="s">
        <v>412</v>
      </c>
      <c r="L34" s="11" t="s">
        <v>413</v>
      </c>
      <c r="M34" s="14" t="s">
        <v>414</v>
      </c>
      <c r="N34" s="14" t="s">
        <v>81</v>
      </c>
      <c r="O34" s="14" t="s">
        <v>55</v>
      </c>
      <c r="P34" s="14" t="s">
        <v>56</v>
      </c>
      <c r="Q34" s="14" t="s">
        <v>57</v>
      </c>
      <c r="R34" s="14" t="s">
        <v>58</v>
      </c>
      <c r="S34" s="14" t="s">
        <v>59</v>
      </c>
      <c r="T34" s="14" t="s">
        <v>63</v>
      </c>
      <c r="U34" s="14" t="s">
        <v>64</v>
      </c>
      <c r="V34" s="14" t="s">
        <v>65</v>
      </c>
      <c r="W34" s="14" t="s">
        <v>66</v>
      </c>
      <c r="X34" s="55">
        <f t="shared" si="4"/>
        <v>234</v>
      </c>
      <c r="Y34" s="54">
        <v>0</v>
      </c>
      <c r="Z34" s="54">
        <v>0</v>
      </c>
      <c r="AA34" s="54">
        <v>0</v>
      </c>
      <c r="AB34" s="54">
        <v>0</v>
      </c>
      <c r="AC34" s="54">
        <v>0</v>
      </c>
      <c r="AD34" s="54">
        <v>0</v>
      </c>
      <c r="AE34" s="54">
        <v>0</v>
      </c>
      <c r="AF34" s="54">
        <v>0</v>
      </c>
      <c r="AG34" s="54">
        <v>0</v>
      </c>
      <c r="AH34" s="54">
        <v>0</v>
      </c>
      <c r="AI34" s="54">
        <v>0</v>
      </c>
      <c r="AJ34" s="54">
        <v>0</v>
      </c>
      <c r="AK34" s="54">
        <v>0</v>
      </c>
      <c r="AL34" s="54">
        <v>0</v>
      </c>
      <c r="AM34" s="54">
        <v>0</v>
      </c>
      <c r="AN34" s="54">
        <v>0</v>
      </c>
      <c r="AO34" s="54">
        <v>0</v>
      </c>
      <c r="AP34" s="54">
        <v>0</v>
      </c>
      <c r="AQ34" s="54">
        <v>0</v>
      </c>
      <c r="AR34" s="54">
        <v>0</v>
      </c>
      <c r="AS34" s="54">
        <v>0</v>
      </c>
      <c r="AT34" s="54">
        <v>0</v>
      </c>
      <c r="AU34" s="54">
        <v>0</v>
      </c>
      <c r="AV34" s="54">
        <v>0</v>
      </c>
      <c r="AW34" s="54">
        <v>0</v>
      </c>
      <c r="AX34" s="54">
        <v>3</v>
      </c>
      <c r="AY34" s="54">
        <v>3</v>
      </c>
      <c r="AZ34" s="54">
        <v>3</v>
      </c>
      <c r="BA34" s="54">
        <v>6</v>
      </c>
      <c r="BB34" s="54">
        <v>6</v>
      </c>
      <c r="BC34" s="54">
        <v>6</v>
      </c>
      <c r="BD34" s="54">
        <v>10</v>
      </c>
      <c r="BE34" s="54">
        <v>10</v>
      </c>
      <c r="BF34" s="54">
        <v>10</v>
      </c>
      <c r="BG34" s="54">
        <v>20</v>
      </c>
      <c r="BH34" s="54">
        <v>20</v>
      </c>
      <c r="BI34" s="54">
        <v>20</v>
      </c>
      <c r="BJ34" s="54">
        <v>20</v>
      </c>
      <c r="BK34" s="54">
        <v>20</v>
      </c>
      <c r="BL34" s="54">
        <v>20</v>
      </c>
      <c r="BM34" s="54">
        <v>10</v>
      </c>
      <c r="BN34" s="54">
        <v>10</v>
      </c>
      <c r="BO34" s="54">
        <v>10</v>
      </c>
      <c r="BP34" s="54">
        <v>6</v>
      </c>
      <c r="BQ34" s="54">
        <v>6</v>
      </c>
      <c r="BR34" s="54">
        <v>6</v>
      </c>
      <c r="BS34" s="54">
        <v>3</v>
      </c>
      <c r="BT34" s="54">
        <v>3</v>
      </c>
      <c r="BU34" s="54">
        <v>3</v>
      </c>
      <c r="BV34" s="54">
        <v>0</v>
      </c>
      <c r="BW34" s="54">
        <v>0</v>
      </c>
      <c r="BX34" s="54">
        <v>0</v>
      </c>
      <c r="BY34" s="54">
        <v>0</v>
      </c>
      <c r="BZ34" s="54">
        <v>0</v>
      </c>
      <c r="CA34" s="54">
        <v>0</v>
      </c>
      <c r="CB34" s="54">
        <v>0</v>
      </c>
      <c r="CC34" s="54">
        <v>0</v>
      </c>
      <c r="CD34" s="54">
        <v>0</v>
      </c>
      <c r="CE34" s="54">
        <v>0</v>
      </c>
      <c r="CF34" s="54">
        <v>0</v>
      </c>
      <c r="CG34" s="54">
        <v>0</v>
      </c>
      <c r="CH34" s="54">
        <v>0</v>
      </c>
      <c r="CI34" s="54">
        <v>0</v>
      </c>
      <c r="CJ34" s="54">
        <v>0</v>
      </c>
      <c r="CK34" s="54">
        <v>0</v>
      </c>
      <c r="CL34" s="54">
        <v>0</v>
      </c>
      <c r="CM34" s="54">
        <v>0</v>
      </c>
      <c r="CN34" s="54">
        <v>0</v>
      </c>
      <c r="CO34" s="54">
        <v>0</v>
      </c>
      <c r="CP34" s="54">
        <v>0</v>
      </c>
      <c r="CQ34" s="54">
        <v>0</v>
      </c>
      <c r="CR34" s="54">
        <v>0</v>
      </c>
      <c r="CS34" s="54">
        <v>0</v>
      </c>
    </row>
    <row r="35" spans="1:97" ht="18" customHeight="1" x14ac:dyDescent="0.2">
      <c r="A35" s="11">
        <v>30</v>
      </c>
      <c r="B35" s="11" t="s">
        <v>415</v>
      </c>
      <c r="C35" s="11" t="s">
        <v>416</v>
      </c>
      <c r="D35" s="11" t="s">
        <v>417</v>
      </c>
      <c r="E35" s="11" t="s">
        <v>418</v>
      </c>
      <c r="F35" s="11" t="s">
        <v>419</v>
      </c>
      <c r="G35" s="11" t="s">
        <v>420</v>
      </c>
      <c r="H35" s="11" t="s">
        <v>421</v>
      </c>
      <c r="I35" s="11" t="s">
        <v>422</v>
      </c>
      <c r="J35" s="11" t="s">
        <v>423</v>
      </c>
      <c r="K35" s="11" t="s">
        <v>424</v>
      </c>
      <c r="L35" s="11" t="s">
        <v>425</v>
      </c>
      <c r="M35" s="14" t="s">
        <v>426</v>
      </c>
      <c r="N35" s="14" t="s">
        <v>81</v>
      </c>
      <c r="O35" s="14" t="s">
        <v>55</v>
      </c>
      <c r="P35" s="14" t="s">
        <v>56</v>
      </c>
      <c r="Q35" s="14" t="s">
        <v>57</v>
      </c>
      <c r="R35" s="14" t="s">
        <v>58</v>
      </c>
      <c r="S35" s="14" t="s">
        <v>59</v>
      </c>
      <c r="T35" s="14" t="s">
        <v>63</v>
      </c>
      <c r="U35" s="14" t="s">
        <v>64</v>
      </c>
      <c r="V35" s="14" t="s">
        <v>65</v>
      </c>
      <c r="W35" s="14" t="s">
        <v>66</v>
      </c>
      <c r="X35" s="55">
        <f t="shared" si="4"/>
        <v>234</v>
      </c>
      <c r="Y35" s="54">
        <v>0</v>
      </c>
      <c r="Z35" s="54">
        <v>0</v>
      </c>
      <c r="AA35" s="54">
        <v>0</v>
      </c>
      <c r="AB35" s="54">
        <v>0</v>
      </c>
      <c r="AC35" s="54">
        <v>0</v>
      </c>
      <c r="AD35" s="54">
        <v>0</v>
      </c>
      <c r="AE35" s="54">
        <v>0</v>
      </c>
      <c r="AF35" s="54">
        <v>0</v>
      </c>
      <c r="AG35" s="54">
        <v>0</v>
      </c>
      <c r="AH35" s="54">
        <v>0</v>
      </c>
      <c r="AI35" s="54">
        <v>0</v>
      </c>
      <c r="AJ35" s="54">
        <v>0</v>
      </c>
      <c r="AK35" s="54">
        <v>0</v>
      </c>
      <c r="AL35" s="54">
        <v>0</v>
      </c>
      <c r="AM35" s="54">
        <v>0</v>
      </c>
      <c r="AN35" s="54">
        <v>0</v>
      </c>
      <c r="AO35" s="54">
        <v>0</v>
      </c>
      <c r="AP35" s="54">
        <v>0</v>
      </c>
      <c r="AQ35" s="54">
        <v>0</v>
      </c>
      <c r="AR35" s="54">
        <v>0</v>
      </c>
      <c r="AS35" s="54">
        <v>0</v>
      </c>
      <c r="AT35" s="54">
        <v>0</v>
      </c>
      <c r="AU35" s="54">
        <v>0</v>
      </c>
      <c r="AV35" s="54">
        <v>0</v>
      </c>
      <c r="AW35" s="54">
        <v>0</v>
      </c>
      <c r="AX35" s="54">
        <v>3</v>
      </c>
      <c r="AY35" s="54">
        <v>3</v>
      </c>
      <c r="AZ35" s="54">
        <v>3</v>
      </c>
      <c r="BA35" s="54">
        <v>6</v>
      </c>
      <c r="BB35" s="54">
        <v>6</v>
      </c>
      <c r="BC35" s="54">
        <v>6</v>
      </c>
      <c r="BD35" s="54">
        <v>10</v>
      </c>
      <c r="BE35" s="54">
        <v>10</v>
      </c>
      <c r="BF35" s="54">
        <v>10</v>
      </c>
      <c r="BG35" s="54">
        <v>20</v>
      </c>
      <c r="BH35" s="54">
        <v>20</v>
      </c>
      <c r="BI35" s="54">
        <v>20</v>
      </c>
      <c r="BJ35" s="54">
        <v>20</v>
      </c>
      <c r="BK35" s="54">
        <v>20</v>
      </c>
      <c r="BL35" s="54">
        <v>20</v>
      </c>
      <c r="BM35" s="54">
        <v>10</v>
      </c>
      <c r="BN35" s="54">
        <v>10</v>
      </c>
      <c r="BO35" s="54">
        <v>10</v>
      </c>
      <c r="BP35" s="54">
        <v>6</v>
      </c>
      <c r="BQ35" s="54">
        <v>6</v>
      </c>
      <c r="BR35" s="54">
        <v>6</v>
      </c>
      <c r="BS35" s="54">
        <v>3</v>
      </c>
      <c r="BT35" s="54">
        <v>3</v>
      </c>
      <c r="BU35" s="54">
        <v>3</v>
      </c>
      <c r="BV35" s="54">
        <v>0</v>
      </c>
      <c r="BW35" s="54">
        <v>0</v>
      </c>
      <c r="BX35" s="54">
        <v>0</v>
      </c>
      <c r="BY35" s="54">
        <v>0</v>
      </c>
      <c r="BZ35" s="54">
        <v>0</v>
      </c>
      <c r="CA35" s="54">
        <v>0</v>
      </c>
      <c r="CB35" s="54">
        <v>0</v>
      </c>
      <c r="CC35" s="54">
        <v>0</v>
      </c>
      <c r="CD35" s="54">
        <v>0</v>
      </c>
      <c r="CE35" s="54">
        <v>0</v>
      </c>
      <c r="CF35" s="54">
        <v>0</v>
      </c>
      <c r="CG35" s="54">
        <v>0</v>
      </c>
      <c r="CH35" s="54">
        <v>0</v>
      </c>
      <c r="CI35" s="54">
        <v>0</v>
      </c>
      <c r="CJ35" s="54">
        <v>0</v>
      </c>
      <c r="CK35" s="54">
        <v>0</v>
      </c>
      <c r="CL35" s="54">
        <v>0</v>
      </c>
      <c r="CM35" s="54">
        <v>0</v>
      </c>
      <c r="CN35" s="54">
        <v>0</v>
      </c>
      <c r="CO35" s="54">
        <v>0</v>
      </c>
      <c r="CP35" s="54">
        <v>0</v>
      </c>
      <c r="CQ35" s="54">
        <v>0</v>
      </c>
      <c r="CR35" s="54">
        <v>0</v>
      </c>
      <c r="CS35" s="54">
        <v>0</v>
      </c>
    </row>
    <row r="36" spans="1:97" ht="18" customHeight="1" x14ac:dyDescent="0.2">
      <c r="A36" s="11">
        <v>31</v>
      </c>
      <c r="B36" s="11" t="s">
        <v>427</v>
      </c>
      <c r="C36" s="11" t="s">
        <v>428</v>
      </c>
      <c r="D36" s="11" t="s">
        <v>429</v>
      </c>
      <c r="E36" s="11" t="s">
        <v>430</v>
      </c>
      <c r="F36" s="11" t="s">
        <v>431</v>
      </c>
      <c r="G36" s="11" t="s">
        <v>432</v>
      </c>
      <c r="H36" s="11" t="s">
        <v>433</v>
      </c>
      <c r="I36" s="11" t="s">
        <v>434</v>
      </c>
      <c r="J36" s="11" t="s">
        <v>435</v>
      </c>
      <c r="K36" s="11" t="s">
        <v>436</v>
      </c>
      <c r="L36" s="11" t="s">
        <v>437</v>
      </c>
      <c r="M36" s="14" t="s">
        <v>438</v>
      </c>
      <c r="N36" s="14" t="s">
        <v>81</v>
      </c>
      <c r="O36" s="14" t="s">
        <v>55</v>
      </c>
      <c r="P36" s="14" t="s">
        <v>56</v>
      </c>
      <c r="Q36" s="14" t="s">
        <v>57</v>
      </c>
      <c r="R36" s="14" t="s">
        <v>58</v>
      </c>
      <c r="S36" s="14" t="s">
        <v>59</v>
      </c>
      <c r="T36" s="14" t="s">
        <v>63</v>
      </c>
      <c r="U36" s="14" t="s">
        <v>64</v>
      </c>
      <c r="V36" s="14" t="s">
        <v>65</v>
      </c>
      <c r="W36" s="14" t="s">
        <v>66</v>
      </c>
      <c r="X36" s="55">
        <f t="shared" si="4"/>
        <v>234</v>
      </c>
      <c r="Y36" s="54">
        <v>0</v>
      </c>
      <c r="Z36" s="54">
        <v>0</v>
      </c>
      <c r="AA36" s="54">
        <v>0</v>
      </c>
      <c r="AB36" s="54">
        <v>0</v>
      </c>
      <c r="AC36" s="54">
        <v>0</v>
      </c>
      <c r="AD36" s="54">
        <v>0</v>
      </c>
      <c r="AE36" s="54">
        <v>0</v>
      </c>
      <c r="AF36" s="54">
        <v>0</v>
      </c>
      <c r="AG36" s="54">
        <v>0</v>
      </c>
      <c r="AH36" s="54">
        <v>0</v>
      </c>
      <c r="AI36" s="54">
        <v>0</v>
      </c>
      <c r="AJ36" s="54">
        <v>0</v>
      </c>
      <c r="AK36" s="54">
        <v>0</v>
      </c>
      <c r="AL36" s="54">
        <v>0</v>
      </c>
      <c r="AM36" s="54">
        <v>0</v>
      </c>
      <c r="AN36" s="54">
        <v>0</v>
      </c>
      <c r="AO36" s="54">
        <v>0</v>
      </c>
      <c r="AP36" s="54">
        <v>0</v>
      </c>
      <c r="AQ36" s="54">
        <v>0</v>
      </c>
      <c r="AR36" s="54">
        <v>0</v>
      </c>
      <c r="AS36" s="54">
        <v>0</v>
      </c>
      <c r="AT36" s="54">
        <v>0</v>
      </c>
      <c r="AU36" s="54">
        <v>0</v>
      </c>
      <c r="AV36" s="54">
        <v>0</v>
      </c>
      <c r="AW36" s="54">
        <v>0</v>
      </c>
      <c r="AX36" s="54">
        <v>3</v>
      </c>
      <c r="AY36" s="54">
        <v>3</v>
      </c>
      <c r="AZ36" s="54">
        <v>3</v>
      </c>
      <c r="BA36" s="54">
        <v>6</v>
      </c>
      <c r="BB36" s="54">
        <v>6</v>
      </c>
      <c r="BC36" s="54">
        <v>6</v>
      </c>
      <c r="BD36" s="54">
        <v>10</v>
      </c>
      <c r="BE36" s="54">
        <v>10</v>
      </c>
      <c r="BF36" s="54">
        <v>10</v>
      </c>
      <c r="BG36" s="54">
        <v>20</v>
      </c>
      <c r="BH36" s="54">
        <v>20</v>
      </c>
      <c r="BI36" s="54">
        <v>20</v>
      </c>
      <c r="BJ36" s="54">
        <v>20</v>
      </c>
      <c r="BK36" s="54">
        <v>20</v>
      </c>
      <c r="BL36" s="54">
        <v>20</v>
      </c>
      <c r="BM36" s="54">
        <v>10</v>
      </c>
      <c r="BN36" s="54">
        <v>10</v>
      </c>
      <c r="BO36" s="54">
        <v>10</v>
      </c>
      <c r="BP36" s="54">
        <v>6</v>
      </c>
      <c r="BQ36" s="54">
        <v>6</v>
      </c>
      <c r="BR36" s="54">
        <v>6</v>
      </c>
      <c r="BS36" s="54">
        <v>3</v>
      </c>
      <c r="BT36" s="54">
        <v>3</v>
      </c>
      <c r="BU36" s="54">
        <v>3</v>
      </c>
      <c r="BV36" s="54">
        <v>0</v>
      </c>
      <c r="BW36" s="54">
        <v>0</v>
      </c>
      <c r="BX36" s="54">
        <v>0</v>
      </c>
      <c r="BY36" s="54">
        <v>0</v>
      </c>
      <c r="BZ36" s="54">
        <v>0</v>
      </c>
      <c r="CA36" s="54">
        <v>0</v>
      </c>
      <c r="CB36" s="54">
        <v>0</v>
      </c>
      <c r="CC36" s="54">
        <v>0</v>
      </c>
      <c r="CD36" s="54">
        <v>0</v>
      </c>
      <c r="CE36" s="54">
        <v>0</v>
      </c>
      <c r="CF36" s="54">
        <v>0</v>
      </c>
      <c r="CG36" s="54">
        <v>0</v>
      </c>
      <c r="CH36" s="54">
        <v>0</v>
      </c>
      <c r="CI36" s="54">
        <v>0</v>
      </c>
      <c r="CJ36" s="54">
        <v>0</v>
      </c>
      <c r="CK36" s="54">
        <v>0</v>
      </c>
      <c r="CL36" s="54">
        <v>0</v>
      </c>
      <c r="CM36" s="54">
        <v>0</v>
      </c>
      <c r="CN36" s="54">
        <v>0</v>
      </c>
      <c r="CO36" s="54">
        <v>0</v>
      </c>
      <c r="CP36" s="54">
        <v>0</v>
      </c>
      <c r="CQ36" s="54">
        <v>0</v>
      </c>
      <c r="CR36" s="54">
        <v>0</v>
      </c>
      <c r="CS36" s="54">
        <v>0</v>
      </c>
    </row>
    <row r="37" spans="1:97" ht="18" customHeight="1" x14ac:dyDescent="0.2">
      <c r="A37" s="11">
        <v>32</v>
      </c>
      <c r="B37" s="11" t="s">
        <v>439</v>
      </c>
      <c r="C37" s="11" t="s">
        <v>440</v>
      </c>
      <c r="D37" s="11" t="s">
        <v>441</v>
      </c>
      <c r="E37" s="11" t="s">
        <v>442</v>
      </c>
      <c r="F37" s="11" t="s">
        <v>443</v>
      </c>
      <c r="G37" s="11" t="s">
        <v>444</v>
      </c>
      <c r="H37" s="11" t="s">
        <v>445</v>
      </c>
      <c r="I37" s="11" t="s">
        <v>446</v>
      </c>
      <c r="J37" s="11" t="s">
        <v>447</v>
      </c>
      <c r="K37" s="11" t="s">
        <v>448</v>
      </c>
      <c r="L37" s="11" t="s">
        <v>449</v>
      </c>
      <c r="M37" s="14" t="s">
        <v>450</v>
      </c>
      <c r="N37" s="14" t="s">
        <v>81</v>
      </c>
      <c r="O37" s="14" t="s">
        <v>55</v>
      </c>
      <c r="P37" s="14" t="s">
        <v>56</v>
      </c>
      <c r="Q37" s="14" t="s">
        <v>57</v>
      </c>
      <c r="R37" s="14" t="s">
        <v>58</v>
      </c>
      <c r="S37" s="14" t="s">
        <v>59</v>
      </c>
      <c r="T37" s="14" t="s">
        <v>63</v>
      </c>
      <c r="U37" s="14" t="s">
        <v>64</v>
      </c>
      <c r="V37" s="14" t="s">
        <v>65</v>
      </c>
      <c r="W37" s="14" t="s">
        <v>66</v>
      </c>
      <c r="X37" s="55">
        <f t="shared" si="4"/>
        <v>234</v>
      </c>
      <c r="Y37" s="54">
        <v>0</v>
      </c>
      <c r="Z37" s="54">
        <v>0</v>
      </c>
      <c r="AA37" s="54">
        <v>0</v>
      </c>
      <c r="AB37" s="54">
        <v>0</v>
      </c>
      <c r="AC37" s="54">
        <v>0</v>
      </c>
      <c r="AD37" s="54">
        <v>0</v>
      </c>
      <c r="AE37" s="54">
        <v>0</v>
      </c>
      <c r="AF37" s="54">
        <v>0</v>
      </c>
      <c r="AG37" s="54">
        <v>0</v>
      </c>
      <c r="AH37" s="54">
        <v>0</v>
      </c>
      <c r="AI37" s="54">
        <v>0</v>
      </c>
      <c r="AJ37" s="54">
        <v>0</v>
      </c>
      <c r="AK37" s="54">
        <v>0</v>
      </c>
      <c r="AL37" s="54">
        <v>0</v>
      </c>
      <c r="AM37" s="54">
        <v>0</v>
      </c>
      <c r="AN37" s="54">
        <v>0</v>
      </c>
      <c r="AO37" s="54">
        <v>0</v>
      </c>
      <c r="AP37" s="54">
        <v>0</v>
      </c>
      <c r="AQ37" s="54">
        <v>0</v>
      </c>
      <c r="AR37" s="54">
        <v>0</v>
      </c>
      <c r="AS37" s="54">
        <v>0</v>
      </c>
      <c r="AT37" s="54">
        <v>0</v>
      </c>
      <c r="AU37" s="54">
        <v>0</v>
      </c>
      <c r="AV37" s="54">
        <v>0</v>
      </c>
      <c r="AW37" s="54">
        <v>0</v>
      </c>
      <c r="AX37" s="54">
        <v>3</v>
      </c>
      <c r="AY37" s="54">
        <v>3</v>
      </c>
      <c r="AZ37" s="54">
        <v>3</v>
      </c>
      <c r="BA37" s="54">
        <v>6</v>
      </c>
      <c r="BB37" s="54">
        <v>6</v>
      </c>
      <c r="BC37" s="54">
        <v>6</v>
      </c>
      <c r="BD37" s="54">
        <v>10</v>
      </c>
      <c r="BE37" s="54">
        <v>10</v>
      </c>
      <c r="BF37" s="54">
        <v>10</v>
      </c>
      <c r="BG37" s="54">
        <v>20</v>
      </c>
      <c r="BH37" s="54">
        <v>20</v>
      </c>
      <c r="BI37" s="54">
        <v>20</v>
      </c>
      <c r="BJ37" s="54">
        <v>20</v>
      </c>
      <c r="BK37" s="54">
        <v>20</v>
      </c>
      <c r="BL37" s="54">
        <v>20</v>
      </c>
      <c r="BM37" s="54">
        <v>10</v>
      </c>
      <c r="BN37" s="54">
        <v>10</v>
      </c>
      <c r="BO37" s="54">
        <v>10</v>
      </c>
      <c r="BP37" s="54">
        <v>6</v>
      </c>
      <c r="BQ37" s="54">
        <v>6</v>
      </c>
      <c r="BR37" s="54">
        <v>6</v>
      </c>
      <c r="BS37" s="54">
        <v>3</v>
      </c>
      <c r="BT37" s="54">
        <v>3</v>
      </c>
      <c r="BU37" s="54">
        <v>3</v>
      </c>
      <c r="BV37" s="54">
        <v>0</v>
      </c>
      <c r="BW37" s="54">
        <v>0</v>
      </c>
      <c r="BX37" s="54">
        <v>0</v>
      </c>
      <c r="BY37" s="54">
        <v>0</v>
      </c>
      <c r="BZ37" s="54">
        <v>0</v>
      </c>
      <c r="CA37" s="54">
        <v>0</v>
      </c>
      <c r="CB37" s="54">
        <v>0</v>
      </c>
      <c r="CC37" s="54">
        <v>0</v>
      </c>
      <c r="CD37" s="54">
        <v>0</v>
      </c>
      <c r="CE37" s="54">
        <v>0</v>
      </c>
      <c r="CF37" s="54">
        <v>0</v>
      </c>
      <c r="CG37" s="54">
        <v>0</v>
      </c>
      <c r="CH37" s="54">
        <v>0</v>
      </c>
      <c r="CI37" s="54">
        <v>0</v>
      </c>
      <c r="CJ37" s="54">
        <v>0</v>
      </c>
      <c r="CK37" s="54">
        <v>0</v>
      </c>
      <c r="CL37" s="54">
        <v>0</v>
      </c>
      <c r="CM37" s="54">
        <v>0</v>
      </c>
      <c r="CN37" s="54">
        <v>0</v>
      </c>
      <c r="CO37" s="54">
        <v>0</v>
      </c>
      <c r="CP37" s="54">
        <v>0</v>
      </c>
      <c r="CQ37" s="54">
        <v>0</v>
      </c>
      <c r="CR37" s="54">
        <v>0</v>
      </c>
      <c r="CS37" s="54">
        <v>0</v>
      </c>
    </row>
    <row r="38" spans="1:97" ht="18" customHeight="1" x14ac:dyDescent="0.2">
      <c r="A38" s="11">
        <v>33</v>
      </c>
      <c r="B38" s="11" t="s">
        <v>451</v>
      </c>
      <c r="C38" s="11" t="s">
        <v>452</v>
      </c>
      <c r="D38" s="11" t="s">
        <v>453</v>
      </c>
      <c r="E38" s="11" t="s">
        <v>454</v>
      </c>
      <c r="F38" s="11" t="s">
        <v>455</v>
      </c>
      <c r="G38" s="11" t="s">
        <v>456</v>
      </c>
      <c r="H38" s="11" t="s">
        <v>457</v>
      </c>
      <c r="I38" s="11" t="s">
        <v>458</v>
      </c>
      <c r="J38" s="11" t="s">
        <v>459</v>
      </c>
      <c r="K38" s="11" t="s">
        <v>460</v>
      </c>
      <c r="L38" s="11" t="s">
        <v>461</v>
      </c>
      <c r="M38" s="14" t="s">
        <v>462</v>
      </c>
      <c r="N38" s="14" t="s">
        <v>81</v>
      </c>
      <c r="O38" s="14" t="s">
        <v>55</v>
      </c>
      <c r="P38" s="14" t="s">
        <v>56</v>
      </c>
      <c r="Q38" s="14" t="s">
        <v>57</v>
      </c>
      <c r="R38" s="14" t="s">
        <v>58</v>
      </c>
      <c r="S38" s="14" t="s">
        <v>59</v>
      </c>
      <c r="T38" s="14" t="s">
        <v>63</v>
      </c>
      <c r="U38" s="14" t="s">
        <v>64</v>
      </c>
      <c r="V38" s="14" t="s">
        <v>65</v>
      </c>
      <c r="W38" s="14" t="s">
        <v>66</v>
      </c>
      <c r="X38" s="55">
        <f t="shared" si="4"/>
        <v>234</v>
      </c>
      <c r="Y38" s="54">
        <v>0</v>
      </c>
      <c r="Z38" s="54">
        <v>0</v>
      </c>
      <c r="AA38" s="54">
        <v>0</v>
      </c>
      <c r="AB38" s="54">
        <v>0</v>
      </c>
      <c r="AC38" s="54">
        <v>0</v>
      </c>
      <c r="AD38" s="54">
        <v>0</v>
      </c>
      <c r="AE38" s="54">
        <v>0</v>
      </c>
      <c r="AF38" s="54">
        <v>0</v>
      </c>
      <c r="AG38" s="54">
        <v>0</v>
      </c>
      <c r="AH38" s="54">
        <v>0</v>
      </c>
      <c r="AI38" s="54">
        <v>0</v>
      </c>
      <c r="AJ38" s="54">
        <v>0</v>
      </c>
      <c r="AK38" s="54">
        <v>0</v>
      </c>
      <c r="AL38" s="54">
        <v>0</v>
      </c>
      <c r="AM38" s="54">
        <v>0</v>
      </c>
      <c r="AN38" s="54">
        <v>0</v>
      </c>
      <c r="AO38" s="54">
        <v>0</v>
      </c>
      <c r="AP38" s="54">
        <v>0</v>
      </c>
      <c r="AQ38" s="54">
        <v>0</v>
      </c>
      <c r="AR38" s="54">
        <v>0</v>
      </c>
      <c r="AS38" s="54">
        <v>0</v>
      </c>
      <c r="AT38" s="54">
        <v>0</v>
      </c>
      <c r="AU38" s="54">
        <v>0</v>
      </c>
      <c r="AV38" s="54">
        <v>0</v>
      </c>
      <c r="AW38" s="54">
        <v>0</v>
      </c>
      <c r="AX38" s="54">
        <v>3</v>
      </c>
      <c r="AY38" s="54">
        <v>3</v>
      </c>
      <c r="AZ38" s="54">
        <v>3</v>
      </c>
      <c r="BA38" s="54">
        <v>6</v>
      </c>
      <c r="BB38" s="54">
        <v>6</v>
      </c>
      <c r="BC38" s="54">
        <v>6</v>
      </c>
      <c r="BD38" s="54">
        <v>10</v>
      </c>
      <c r="BE38" s="54">
        <v>10</v>
      </c>
      <c r="BF38" s="54">
        <v>10</v>
      </c>
      <c r="BG38" s="54">
        <v>20</v>
      </c>
      <c r="BH38" s="54">
        <v>20</v>
      </c>
      <c r="BI38" s="54">
        <v>20</v>
      </c>
      <c r="BJ38" s="54">
        <v>20</v>
      </c>
      <c r="BK38" s="54">
        <v>20</v>
      </c>
      <c r="BL38" s="54">
        <v>20</v>
      </c>
      <c r="BM38" s="54">
        <v>10</v>
      </c>
      <c r="BN38" s="54">
        <v>10</v>
      </c>
      <c r="BO38" s="54">
        <v>10</v>
      </c>
      <c r="BP38" s="54">
        <v>6</v>
      </c>
      <c r="BQ38" s="54">
        <v>6</v>
      </c>
      <c r="BR38" s="54">
        <v>6</v>
      </c>
      <c r="BS38" s="54">
        <v>3</v>
      </c>
      <c r="BT38" s="54">
        <v>3</v>
      </c>
      <c r="BU38" s="54">
        <v>3</v>
      </c>
      <c r="BV38" s="54">
        <v>0</v>
      </c>
      <c r="BW38" s="54">
        <v>0</v>
      </c>
      <c r="BX38" s="54">
        <v>0</v>
      </c>
      <c r="BY38" s="54">
        <v>0</v>
      </c>
      <c r="BZ38" s="54">
        <v>0</v>
      </c>
      <c r="CA38" s="54">
        <v>0</v>
      </c>
      <c r="CB38" s="54">
        <v>0</v>
      </c>
      <c r="CC38" s="54">
        <v>0</v>
      </c>
      <c r="CD38" s="54">
        <v>0</v>
      </c>
      <c r="CE38" s="54">
        <v>0</v>
      </c>
      <c r="CF38" s="54">
        <v>0</v>
      </c>
      <c r="CG38" s="54">
        <v>0</v>
      </c>
      <c r="CH38" s="54">
        <v>0</v>
      </c>
      <c r="CI38" s="54">
        <v>0</v>
      </c>
      <c r="CJ38" s="54">
        <v>0</v>
      </c>
      <c r="CK38" s="54">
        <v>0</v>
      </c>
      <c r="CL38" s="54">
        <v>0</v>
      </c>
      <c r="CM38" s="54">
        <v>0</v>
      </c>
      <c r="CN38" s="54">
        <v>0</v>
      </c>
      <c r="CO38" s="54">
        <v>0</v>
      </c>
      <c r="CP38" s="54">
        <v>0</v>
      </c>
      <c r="CQ38" s="54">
        <v>0</v>
      </c>
      <c r="CR38" s="54">
        <v>0</v>
      </c>
      <c r="CS38" s="54">
        <v>0</v>
      </c>
    </row>
    <row r="39" spans="1:97" ht="18" customHeight="1" x14ac:dyDescent="0.2">
      <c r="A39" s="11">
        <v>34</v>
      </c>
      <c r="B39" s="11" t="s">
        <v>463</v>
      </c>
      <c r="C39" s="11" t="s">
        <v>464</v>
      </c>
      <c r="D39" s="11" t="s">
        <v>465</v>
      </c>
      <c r="E39" s="11" t="s">
        <v>466</v>
      </c>
      <c r="F39" s="11" t="s">
        <v>467</v>
      </c>
      <c r="G39" s="11" t="s">
        <v>468</v>
      </c>
      <c r="H39" s="11" t="s">
        <v>469</v>
      </c>
      <c r="I39" s="11" t="s">
        <v>470</v>
      </c>
      <c r="J39" s="11" t="s">
        <v>471</v>
      </c>
      <c r="K39" s="11" t="s">
        <v>472</v>
      </c>
      <c r="L39" s="11" t="s">
        <v>473</v>
      </c>
      <c r="M39" s="14" t="s">
        <v>474</v>
      </c>
      <c r="N39" s="14" t="s">
        <v>81</v>
      </c>
      <c r="O39" s="14" t="s">
        <v>55</v>
      </c>
      <c r="P39" s="14" t="s">
        <v>56</v>
      </c>
      <c r="Q39" s="14" t="s">
        <v>57</v>
      </c>
      <c r="R39" s="14" t="s">
        <v>58</v>
      </c>
      <c r="S39" s="14" t="s">
        <v>59</v>
      </c>
      <c r="T39" s="14" t="s">
        <v>63</v>
      </c>
      <c r="U39" s="14" t="s">
        <v>64</v>
      </c>
      <c r="V39" s="14" t="s">
        <v>65</v>
      </c>
      <c r="W39" s="14" t="s">
        <v>66</v>
      </c>
      <c r="X39" s="55">
        <f t="shared" si="4"/>
        <v>234</v>
      </c>
      <c r="Y39" s="54">
        <v>0</v>
      </c>
      <c r="Z39" s="54">
        <v>0</v>
      </c>
      <c r="AA39" s="54">
        <v>0</v>
      </c>
      <c r="AB39" s="54">
        <v>0</v>
      </c>
      <c r="AC39" s="54">
        <v>0</v>
      </c>
      <c r="AD39" s="54">
        <v>0</v>
      </c>
      <c r="AE39" s="54">
        <v>0</v>
      </c>
      <c r="AF39" s="54">
        <v>0</v>
      </c>
      <c r="AG39" s="54">
        <v>0</v>
      </c>
      <c r="AH39" s="54">
        <v>0</v>
      </c>
      <c r="AI39" s="54">
        <v>0</v>
      </c>
      <c r="AJ39" s="54">
        <v>0</v>
      </c>
      <c r="AK39" s="54">
        <v>0</v>
      </c>
      <c r="AL39" s="54">
        <v>0</v>
      </c>
      <c r="AM39" s="54">
        <v>0</v>
      </c>
      <c r="AN39" s="54">
        <v>0</v>
      </c>
      <c r="AO39" s="54">
        <v>0</v>
      </c>
      <c r="AP39" s="54">
        <v>0</v>
      </c>
      <c r="AQ39" s="54">
        <v>0</v>
      </c>
      <c r="AR39" s="54">
        <v>0</v>
      </c>
      <c r="AS39" s="54">
        <v>0</v>
      </c>
      <c r="AT39" s="54">
        <v>0</v>
      </c>
      <c r="AU39" s="54">
        <v>0</v>
      </c>
      <c r="AV39" s="54">
        <v>0</v>
      </c>
      <c r="AW39" s="54">
        <v>0</v>
      </c>
      <c r="AX39" s="54">
        <v>3</v>
      </c>
      <c r="AY39" s="54">
        <v>3</v>
      </c>
      <c r="AZ39" s="54">
        <v>3</v>
      </c>
      <c r="BA39" s="54">
        <v>6</v>
      </c>
      <c r="BB39" s="54">
        <v>6</v>
      </c>
      <c r="BC39" s="54">
        <v>6</v>
      </c>
      <c r="BD39" s="54">
        <v>10</v>
      </c>
      <c r="BE39" s="54">
        <v>10</v>
      </c>
      <c r="BF39" s="54">
        <v>10</v>
      </c>
      <c r="BG39" s="54">
        <v>20</v>
      </c>
      <c r="BH39" s="54">
        <v>20</v>
      </c>
      <c r="BI39" s="54">
        <v>20</v>
      </c>
      <c r="BJ39" s="54">
        <v>20</v>
      </c>
      <c r="BK39" s="54">
        <v>20</v>
      </c>
      <c r="BL39" s="54">
        <v>20</v>
      </c>
      <c r="BM39" s="54">
        <v>10</v>
      </c>
      <c r="BN39" s="54">
        <v>10</v>
      </c>
      <c r="BO39" s="54">
        <v>10</v>
      </c>
      <c r="BP39" s="54">
        <v>6</v>
      </c>
      <c r="BQ39" s="54">
        <v>6</v>
      </c>
      <c r="BR39" s="54">
        <v>6</v>
      </c>
      <c r="BS39" s="54">
        <v>3</v>
      </c>
      <c r="BT39" s="54">
        <v>3</v>
      </c>
      <c r="BU39" s="54">
        <v>3</v>
      </c>
      <c r="BV39" s="54">
        <v>0</v>
      </c>
      <c r="BW39" s="54">
        <v>0</v>
      </c>
      <c r="BX39" s="54">
        <v>0</v>
      </c>
      <c r="BY39" s="54">
        <v>0</v>
      </c>
      <c r="BZ39" s="54">
        <v>0</v>
      </c>
      <c r="CA39" s="54">
        <v>0</v>
      </c>
      <c r="CB39" s="54">
        <v>0</v>
      </c>
      <c r="CC39" s="54">
        <v>0</v>
      </c>
      <c r="CD39" s="54">
        <v>0</v>
      </c>
      <c r="CE39" s="54">
        <v>0</v>
      </c>
      <c r="CF39" s="54">
        <v>0</v>
      </c>
      <c r="CG39" s="54">
        <v>0</v>
      </c>
      <c r="CH39" s="54">
        <v>0</v>
      </c>
      <c r="CI39" s="54">
        <v>0</v>
      </c>
      <c r="CJ39" s="54">
        <v>0</v>
      </c>
      <c r="CK39" s="54">
        <v>0</v>
      </c>
      <c r="CL39" s="54">
        <v>0</v>
      </c>
      <c r="CM39" s="54">
        <v>0</v>
      </c>
      <c r="CN39" s="54">
        <v>0</v>
      </c>
      <c r="CO39" s="54">
        <v>0</v>
      </c>
      <c r="CP39" s="54">
        <v>0</v>
      </c>
      <c r="CQ39" s="54">
        <v>0</v>
      </c>
      <c r="CR39" s="54">
        <v>0</v>
      </c>
      <c r="CS39" s="54">
        <v>0</v>
      </c>
    </row>
    <row r="40" spans="1:97" ht="18" customHeight="1" x14ac:dyDescent="0.2">
      <c r="A40" s="11">
        <v>35</v>
      </c>
      <c r="B40" s="11" t="s">
        <v>475</v>
      </c>
      <c r="C40" s="11" t="s">
        <v>476</v>
      </c>
      <c r="D40" s="11" t="s">
        <v>477</v>
      </c>
      <c r="E40" s="11" t="s">
        <v>478</v>
      </c>
      <c r="F40" s="11" t="s">
        <v>479</v>
      </c>
      <c r="G40" s="11" t="s">
        <v>480</v>
      </c>
      <c r="H40" s="11" t="s">
        <v>481</v>
      </c>
      <c r="I40" s="11" t="s">
        <v>482</v>
      </c>
      <c r="J40" s="11" t="s">
        <v>483</v>
      </c>
      <c r="K40" s="11" t="s">
        <v>484</v>
      </c>
      <c r="L40" s="11" t="s">
        <v>485</v>
      </c>
      <c r="M40" s="14" t="s">
        <v>486</v>
      </c>
      <c r="N40" s="14" t="s">
        <v>81</v>
      </c>
      <c r="O40" s="14" t="s">
        <v>55</v>
      </c>
      <c r="P40" s="14" t="s">
        <v>56</v>
      </c>
      <c r="Q40" s="14" t="s">
        <v>57</v>
      </c>
      <c r="R40" s="14" t="s">
        <v>58</v>
      </c>
      <c r="S40" s="14" t="s">
        <v>59</v>
      </c>
      <c r="T40" s="14" t="s">
        <v>63</v>
      </c>
      <c r="U40" s="14" t="s">
        <v>64</v>
      </c>
      <c r="V40" s="14" t="s">
        <v>65</v>
      </c>
      <c r="W40" s="14" t="s">
        <v>66</v>
      </c>
      <c r="X40" s="55">
        <f t="shared" si="4"/>
        <v>234</v>
      </c>
      <c r="Y40" s="54">
        <v>0</v>
      </c>
      <c r="Z40" s="54">
        <v>0</v>
      </c>
      <c r="AA40" s="54">
        <v>0</v>
      </c>
      <c r="AB40" s="54">
        <v>0</v>
      </c>
      <c r="AC40" s="54">
        <v>0</v>
      </c>
      <c r="AD40" s="54">
        <v>0</v>
      </c>
      <c r="AE40" s="54">
        <v>0</v>
      </c>
      <c r="AF40" s="54">
        <v>0</v>
      </c>
      <c r="AG40" s="54">
        <v>0</v>
      </c>
      <c r="AH40" s="54">
        <v>0</v>
      </c>
      <c r="AI40" s="54">
        <v>0</v>
      </c>
      <c r="AJ40" s="54">
        <v>0</v>
      </c>
      <c r="AK40" s="54">
        <v>0</v>
      </c>
      <c r="AL40" s="54">
        <v>0</v>
      </c>
      <c r="AM40" s="54">
        <v>0</v>
      </c>
      <c r="AN40" s="54">
        <v>0</v>
      </c>
      <c r="AO40" s="54">
        <v>0</v>
      </c>
      <c r="AP40" s="54">
        <v>0</v>
      </c>
      <c r="AQ40" s="54">
        <v>0</v>
      </c>
      <c r="AR40" s="54">
        <v>0</v>
      </c>
      <c r="AS40" s="54">
        <v>0</v>
      </c>
      <c r="AT40" s="54">
        <v>0</v>
      </c>
      <c r="AU40" s="54">
        <v>0</v>
      </c>
      <c r="AV40" s="54">
        <v>0</v>
      </c>
      <c r="AW40" s="54">
        <v>0</v>
      </c>
      <c r="AX40" s="54">
        <v>3</v>
      </c>
      <c r="AY40" s="54">
        <v>3</v>
      </c>
      <c r="AZ40" s="54">
        <v>3</v>
      </c>
      <c r="BA40" s="54">
        <v>6</v>
      </c>
      <c r="BB40" s="54">
        <v>6</v>
      </c>
      <c r="BC40" s="54">
        <v>6</v>
      </c>
      <c r="BD40" s="54">
        <v>10</v>
      </c>
      <c r="BE40" s="54">
        <v>10</v>
      </c>
      <c r="BF40" s="54">
        <v>10</v>
      </c>
      <c r="BG40" s="54">
        <v>20</v>
      </c>
      <c r="BH40" s="54">
        <v>20</v>
      </c>
      <c r="BI40" s="54">
        <v>20</v>
      </c>
      <c r="BJ40" s="54">
        <v>20</v>
      </c>
      <c r="BK40" s="54">
        <v>20</v>
      </c>
      <c r="BL40" s="54">
        <v>20</v>
      </c>
      <c r="BM40" s="54">
        <v>10</v>
      </c>
      <c r="BN40" s="54">
        <v>10</v>
      </c>
      <c r="BO40" s="54">
        <v>10</v>
      </c>
      <c r="BP40" s="54">
        <v>6</v>
      </c>
      <c r="BQ40" s="54">
        <v>6</v>
      </c>
      <c r="BR40" s="54">
        <v>6</v>
      </c>
      <c r="BS40" s="54">
        <v>3</v>
      </c>
      <c r="BT40" s="54">
        <v>3</v>
      </c>
      <c r="BU40" s="54">
        <v>3</v>
      </c>
      <c r="BV40" s="54">
        <v>0</v>
      </c>
      <c r="BW40" s="54">
        <v>0</v>
      </c>
      <c r="BX40" s="54">
        <v>0</v>
      </c>
      <c r="BY40" s="54">
        <v>0</v>
      </c>
      <c r="BZ40" s="54">
        <v>0</v>
      </c>
      <c r="CA40" s="54">
        <v>0</v>
      </c>
      <c r="CB40" s="54">
        <v>0</v>
      </c>
      <c r="CC40" s="54">
        <v>0</v>
      </c>
      <c r="CD40" s="54">
        <v>0</v>
      </c>
      <c r="CE40" s="54">
        <v>0</v>
      </c>
      <c r="CF40" s="54">
        <v>0</v>
      </c>
      <c r="CG40" s="54">
        <v>0</v>
      </c>
      <c r="CH40" s="54">
        <v>0</v>
      </c>
      <c r="CI40" s="54">
        <v>0</v>
      </c>
      <c r="CJ40" s="54">
        <v>0</v>
      </c>
      <c r="CK40" s="54">
        <v>0</v>
      </c>
      <c r="CL40" s="54">
        <v>0</v>
      </c>
      <c r="CM40" s="54">
        <v>0</v>
      </c>
      <c r="CN40" s="54">
        <v>0</v>
      </c>
      <c r="CO40" s="54">
        <v>0</v>
      </c>
      <c r="CP40" s="54">
        <v>0</v>
      </c>
      <c r="CQ40" s="54">
        <v>0</v>
      </c>
      <c r="CR40" s="54">
        <v>0</v>
      </c>
      <c r="CS40" s="54">
        <v>0</v>
      </c>
    </row>
    <row r="41" spans="1:97" ht="18" customHeight="1" x14ac:dyDescent="0.2">
      <c r="A41" s="11">
        <v>36</v>
      </c>
      <c r="B41" s="11" t="s">
        <v>487</v>
      </c>
      <c r="C41" s="11" t="s">
        <v>488</v>
      </c>
      <c r="D41" s="11" t="s">
        <v>489</v>
      </c>
      <c r="E41" s="11" t="s">
        <v>490</v>
      </c>
      <c r="F41" s="11" t="s">
        <v>491</v>
      </c>
      <c r="G41" s="11" t="s">
        <v>492</v>
      </c>
      <c r="H41" s="11" t="s">
        <v>493</v>
      </c>
      <c r="I41" s="11" t="s">
        <v>494</v>
      </c>
      <c r="J41" s="11" t="s">
        <v>495</v>
      </c>
      <c r="K41" s="11" t="s">
        <v>496</v>
      </c>
      <c r="L41" s="11" t="s">
        <v>497</v>
      </c>
      <c r="M41" s="14" t="s">
        <v>498</v>
      </c>
      <c r="N41" s="14" t="s">
        <v>81</v>
      </c>
      <c r="O41" s="14" t="s">
        <v>55</v>
      </c>
      <c r="P41" s="14" t="s">
        <v>56</v>
      </c>
      <c r="Q41" s="14" t="s">
        <v>57</v>
      </c>
      <c r="R41" s="14" t="s">
        <v>58</v>
      </c>
      <c r="S41" s="14" t="s">
        <v>59</v>
      </c>
      <c r="T41" s="14" t="s">
        <v>63</v>
      </c>
      <c r="U41" s="14" t="s">
        <v>64</v>
      </c>
      <c r="V41" s="14" t="s">
        <v>65</v>
      </c>
      <c r="W41" s="14" t="s">
        <v>66</v>
      </c>
      <c r="X41" s="55">
        <f t="shared" si="4"/>
        <v>234</v>
      </c>
      <c r="Y41" s="54">
        <v>0</v>
      </c>
      <c r="Z41" s="54">
        <v>0</v>
      </c>
      <c r="AA41" s="54">
        <v>0</v>
      </c>
      <c r="AB41" s="54">
        <v>0</v>
      </c>
      <c r="AC41" s="54">
        <v>0</v>
      </c>
      <c r="AD41" s="54">
        <v>0</v>
      </c>
      <c r="AE41" s="54">
        <v>0</v>
      </c>
      <c r="AF41" s="54">
        <v>0</v>
      </c>
      <c r="AG41" s="54">
        <v>0</v>
      </c>
      <c r="AH41" s="54">
        <v>0</v>
      </c>
      <c r="AI41" s="54">
        <v>0</v>
      </c>
      <c r="AJ41" s="54">
        <v>0</v>
      </c>
      <c r="AK41" s="54">
        <v>0</v>
      </c>
      <c r="AL41" s="54">
        <v>0</v>
      </c>
      <c r="AM41" s="54">
        <v>0</v>
      </c>
      <c r="AN41" s="54">
        <v>0</v>
      </c>
      <c r="AO41" s="54">
        <v>0</v>
      </c>
      <c r="AP41" s="54">
        <v>0</v>
      </c>
      <c r="AQ41" s="54">
        <v>0</v>
      </c>
      <c r="AR41" s="54">
        <v>0</v>
      </c>
      <c r="AS41" s="54">
        <v>0</v>
      </c>
      <c r="AT41" s="54">
        <v>0</v>
      </c>
      <c r="AU41" s="54">
        <v>0</v>
      </c>
      <c r="AV41" s="54">
        <v>0</v>
      </c>
      <c r="AW41" s="54">
        <v>0</v>
      </c>
      <c r="AX41" s="54">
        <v>3</v>
      </c>
      <c r="AY41" s="54">
        <v>3</v>
      </c>
      <c r="AZ41" s="54">
        <v>3</v>
      </c>
      <c r="BA41" s="54">
        <v>6</v>
      </c>
      <c r="BB41" s="54">
        <v>6</v>
      </c>
      <c r="BC41" s="54">
        <v>6</v>
      </c>
      <c r="BD41" s="54">
        <v>10</v>
      </c>
      <c r="BE41" s="54">
        <v>10</v>
      </c>
      <c r="BF41" s="54">
        <v>10</v>
      </c>
      <c r="BG41" s="54">
        <v>20</v>
      </c>
      <c r="BH41" s="54">
        <v>20</v>
      </c>
      <c r="BI41" s="54">
        <v>20</v>
      </c>
      <c r="BJ41" s="54">
        <v>20</v>
      </c>
      <c r="BK41" s="54">
        <v>20</v>
      </c>
      <c r="BL41" s="54">
        <v>20</v>
      </c>
      <c r="BM41" s="54">
        <v>10</v>
      </c>
      <c r="BN41" s="54">
        <v>10</v>
      </c>
      <c r="BO41" s="54">
        <v>10</v>
      </c>
      <c r="BP41" s="54">
        <v>6</v>
      </c>
      <c r="BQ41" s="54">
        <v>6</v>
      </c>
      <c r="BR41" s="54">
        <v>6</v>
      </c>
      <c r="BS41" s="54">
        <v>3</v>
      </c>
      <c r="BT41" s="54">
        <v>3</v>
      </c>
      <c r="BU41" s="54">
        <v>3</v>
      </c>
      <c r="BV41" s="54">
        <v>0</v>
      </c>
      <c r="BW41" s="54">
        <v>0</v>
      </c>
      <c r="BX41" s="54">
        <v>0</v>
      </c>
      <c r="BY41" s="54">
        <v>0</v>
      </c>
      <c r="BZ41" s="54">
        <v>0</v>
      </c>
      <c r="CA41" s="54">
        <v>0</v>
      </c>
      <c r="CB41" s="54">
        <v>0</v>
      </c>
      <c r="CC41" s="54">
        <v>0</v>
      </c>
      <c r="CD41" s="54">
        <v>0</v>
      </c>
      <c r="CE41" s="54">
        <v>0</v>
      </c>
      <c r="CF41" s="54">
        <v>0</v>
      </c>
      <c r="CG41" s="54">
        <v>0</v>
      </c>
      <c r="CH41" s="54">
        <v>0</v>
      </c>
      <c r="CI41" s="54">
        <v>0</v>
      </c>
      <c r="CJ41" s="54">
        <v>0</v>
      </c>
      <c r="CK41" s="54">
        <v>0</v>
      </c>
      <c r="CL41" s="54">
        <v>0</v>
      </c>
      <c r="CM41" s="54">
        <v>0</v>
      </c>
      <c r="CN41" s="54">
        <v>0</v>
      </c>
      <c r="CO41" s="54">
        <v>0</v>
      </c>
      <c r="CP41" s="54">
        <v>0</v>
      </c>
      <c r="CQ41" s="54">
        <v>0</v>
      </c>
      <c r="CR41" s="54">
        <v>0</v>
      </c>
      <c r="CS41" s="54">
        <v>0</v>
      </c>
    </row>
    <row r="42" spans="1:97" ht="18" customHeight="1" x14ac:dyDescent="0.2">
      <c r="A42" s="11">
        <v>37</v>
      </c>
      <c r="B42" s="11" t="s">
        <v>499</v>
      </c>
      <c r="C42" s="11" t="s">
        <v>500</v>
      </c>
      <c r="D42" s="11" t="s">
        <v>501</v>
      </c>
      <c r="E42" s="11" t="s">
        <v>502</v>
      </c>
      <c r="F42" s="11" t="s">
        <v>503</v>
      </c>
      <c r="G42" s="11" t="s">
        <v>504</v>
      </c>
      <c r="H42" s="11" t="s">
        <v>505</v>
      </c>
      <c r="I42" s="11" t="s">
        <v>506</v>
      </c>
      <c r="J42" s="11" t="s">
        <v>507</v>
      </c>
      <c r="K42" s="11" t="s">
        <v>508</v>
      </c>
      <c r="L42" s="11" t="s">
        <v>509</v>
      </c>
      <c r="M42" s="14" t="s">
        <v>510</v>
      </c>
      <c r="N42" s="14" t="s">
        <v>81</v>
      </c>
      <c r="O42" s="14" t="s">
        <v>55</v>
      </c>
      <c r="P42" s="14" t="s">
        <v>56</v>
      </c>
      <c r="Q42" s="14" t="s">
        <v>57</v>
      </c>
      <c r="R42" s="14" t="s">
        <v>58</v>
      </c>
      <c r="S42" s="14" t="s">
        <v>59</v>
      </c>
      <c r="T42" s="14" t="s">
        <v>63</v>
      </c>
      <c r="U42" s="14" t="s">
        <v>64</v>
      </c>
      <c r="V42" s="14" t="s">
        <v>65</v>
      </c>
      <c r="W42" s="14" t="s">
        <v>66</v>
      </c>
      <c r="X42" s="55">
        <f t="shared" si="4"/>
        <v>234</v>
      </c>
      <c r="Y42" s="54">
        <v>0</v>
      </c>
      <c r="Z42" s="54">
        <v>0</v>
      </c>
      <c r="AA42" s="54">
        <v>0</v>
      </c>
      <c r="AB42" s="54">
        <v>0</v>
      </c>
      <c r="AC42" s="54">
        <v>0</v>
      </c>
      <c r="AD42" s="54">
        <v>0</v>
      </c>
      <c r="AE42" s="54">
        <v>0</v>
      </c>
      <c r="AF42" s="54">
        <v>0</v>
      </c>
      <c r="AG42" s="54">
        <v>0</v>
      </c>
      <c r="AH42" s="54">
        <v>0</v>
      </c>
      <c r="AI42" s="54">
        <v>0</v>
      </c>
      <c r="AJ42" s="54">
        <v>0</v>
      </c>
      <c r="AK42" s="54">
        <v>0</v>
      </c>
      <c r="AL42" s="54">
        <v>0</v>
      </c>
      <c r="AM42" s="54">
        <v>0</v>
      </c>
      <c r="AN42" s="54">
        <v>0</v>
      </c>
      <c r="AO42" s="54">
        <v>0</v>
      </c>
      <c r="AP42" s="54">
        <v>0</v>
      </c>
      <c r="AQ42" s="54">
        <v>0</v>
      </c>
      <c r="AR42" s="54">
        <v>0</v>
      </c>
      <c r="AS42" s="54">
        <v>0</v>
      </c>
      <c r="AT42" s="54">
        <v>0</v>
      </c>
      <c r="AU42" s="54">
        <v>0</v>
      </c>
      <c r="AV42" s="54">
        <v>0</v>
      </c>
      <c r="AW42" s="54">
        <v>0</v>
      </c>
      <c r="AX42" s="54">
        <v>3</v>
      </c>
      <c r="AY42" s="54">
        <v>3</v>
      </c>
      <c r="AZ42" s="54">
        <v>3</v>
      </c>
      <c r="BA42" s="54">
        <v>6</v>
      </c>
      <c r="BB42" s="54">
        <v>6</v>
      </c>
      <c r="BC42" s="54">
        <v>6</v>
      </c>
      <c r="BD42" s="54">
        <v>10</v>
      </c>
      <c r="BE42" s="54">
        <v>10</v>
      </c>
      <c r="BF42" s="54">
        <v>10</v>
      </c>
      <c r="BG42" s="54">
        <v>20</v>
      </c>
      <c r="BH42" s="54">
        <v>20</v>
      </c>
      <c r="BI42" s="54">
        <v>20</v>
      </c>
      <c r="BJ42" s="54">
        <v>20</v>
      </c>
      <c r="BK42" s="54">
        <v>20</v>
      </c>
      <c r="BL42" s="54">
        <v>20</v>
      </c>
      <c r="BM42" s="54">
        <v>10</v>
      </c>
      <c r="BN42" s="54">
        <v>10</v>
      </c>
      <c r="BO42" s="54">
        <v>10</v>
      </c>
      <c r="BP42" s="54">
        <v>6</v>
      </c>
      <c r="BQ42" s="54">
        <v>6</v>
      </c>
      <c r="BR42" s="54">
        <v>6</v>
      </c>
      <c r="BS42" s="54">
        <v>3</v>
      </c>
      <c r="BT42" s="54">
        <v>3</v>
      </c>
      <c r="BU42" s="54">
        <v>3</v>
      </c>
      <c r="BV42" s="54">
        <v>0</v>
      </c>
      <c r="BW42" s="54">
        <v>0</v>
      </c>
      <c r="BX42" s="54">
        <v>0</v>
      </c>
      <c r="BY42" s="54">
        <v>0</v>
      </c>
      <c r="BZ42" s="54">
        <v>0</v>
      </c>
      <c r="CA42" s="54">
        <v>0</v>
      </c>
      <c r="CB42" s="54">
        <v>0</v>
      </c>
      <c r="CC42" s="54">
        <v>0</v>
      </c>
      <c r="CD42" s="54">
        <v>0</v>
      </c>
      <c r="CE42" s="54">
        <v>0</v>
      </c>
      <c r="CF42" s="54">
        <v>0</v>
      </c>
      <c r="CG42" s="54">
        <v>0</v>
      </c>
      <c r="CH42" s="54">
        <v>0</v>
      </c>
      <c r="CI42" s="54">
        <v>0</v>
      </c>
      <c r="CJ42" s="54">
        <v>0</v>
      </c>
      <c r="CK42" s="54">
        <v>0</v>
      </c>
      <c r="CL42" s="54">
        <v>0</v>
      </c>
      <c r="CM42" s="54">
        <v>0</v>
      </c>
      <c r="CN42" s="54">
        <v>0</v>
      </c>
      <c r="CO42" s="54">
        <v>0</v>
      </c>
      <c r="CP42" s="54">
        <v>0</v>
      </c>
      <c r="CQ42" s="54">
        <v>0</v>
      </c>
      <c r="CR42" s="54">
        <v>0</v>
      </c>
      <c r="CS42" s="54">
        <v>0</v>
      </c>
    </row>
    <row r="43" spans="1:97" ht="18" customHeight="1" x14ac:dyDescent="0.2">
      <c r="A43" s="11">
        <v>38</v>
      </c>
      <c r="B43" s="11" t="s">
        <v>511</v>
      </c>
      <c r="C43" s="11" t="s">
        <v>512</v>
      </c>
      <c r="D43" s="11" t="s">
        <v>513</v>
      </c>
      <c r="E43" s="11" t="s">
        <v>514</v>
      </c>
      <c r="F43" s="11" t="s">
        <v>515</v>
      </c>
      <c r="G43" s="11" t="s">
        <v>516</v>
      </c>
      <c r="H43" s="11" t="s">
        <v>517</v>
      </c>
      <c r="I43" s="11" t="s">
        <v>518</v>
      </c>
      <c r="J43" s="11" t="s">
        <v>519</v>
      </c>
      <c r="K43" s="11" t="s">
        <v>520</v>
      </c>
      <c r="L43" s="11" t="s">
        <v>521</v>
      </c>
      <c r="M43" s="14" t="s">
        <v>522</v>
      </c>
      <c r="N43" s="14" t="s">
        <v>81</v>
      </c>
      <c r="O43" s="14" t="s">
        <v>55</v>
      </c>
      <c r="P43" s="14" t="s">
        <v>56</v>
      </c>
      <c r="Q43" s="14" t="s">
        <v>57</v>
      </c>
      <c r="R43" s="14" t="s">
        <v>58</v>
      </c>
      <c r="S43" s="14" t="s">
        <v>59</v>
      </c>
      <c r="T43" s="14" t="s">
        <v>63</v>
      </c>
      <c r="U43" s="14" t="s">
        <v>64</v>
      </c>
      <c r="V43" s="14" t="s">
        <v>65</v>
      </c>
      <c r="W43" s="14" t="s">
        <v>66</v>
      </c>
      <c r="X43" s="55">
        <f t="shared" si="4"/>
        <v>234</v>
      </c>
      <c r="Y43" s="54">
        <v>0</v>
      </c>
      <c r="Z43" s="54">
        <v>0</v>
      </c>
      <c r="AA43" s="54">
        <v>0</v>
      </c>
      <c r="AB43" s="54">
        <v>0</v>
      </c>
      <c r="AC43" s="54">
        <v>0</v>
      </c>
      <c r="AD43" s="54">
        <v>0</v>
      </c>
      <c r="AE43" s="54">
        <v>0</v>
      </c>
      <c r="AF43" s="54">
        <v>0</v>
      </c>
      <c r="AG43" s="54">
        <v>0</v>
      </c>
      <c r="AH43" s="54">
        <v>0</v>
      </c>
      <c r="AI43" s="54">
        <v>0</v>
      </c>
      <c r="AJ43" s="54">
        <v>0</v>
      </c>
      <c r="AK43" s="54">
        <v>0</v>
      </c>
      <c r="AL43" s="54">
        <v>0</v>
      </c>
      <c r="AM43" s="54">
        <v>0</v>
      </c>
      <c r="AN43" s="54">
        <v>0</v>
      </c>
      <c r="AO43" s="54">
        <v>0</v>
      </c>
      <c r="AP43" s="54">
        <v>0</v>
      </c>
      <c r="AQ43" s="54">
        <v>0</v>
      </c>
      <c r="AR43" s="54">
        <v>0</v>
      </c>
      <c r="AS43" s="54">
        <v>0</v>
      </c>
      <c r="AT43" s="54">
        <v>0</v>
      </c>
      <c r="AU43" s="54">
        <v>0</v>
      </c>
      <c r="AV43" s="54">
        <v>0</v>
      </c>
      <c r="AW43" s="54">
        <v>0</v>
      </c>
      <c r="AX43" s="54">
        <v>3</v>
      </c>
      <c r="AY43" s="54">
        <v>3</v>
      </c>
      <c r="AZ43" s="54">
        <v>3</v>
      </c>
      <c r="BA43" s="54">
        <v>6</v>
      </c>
      <c r="BB43" s="54">
        <v>6</v>
      </c>
      <c r="BC43" s="54">
        <v>6</v>
      </c>
      <c r="BD43" s="54">
        <v>10</v>
      </c>
      <c r="BE43" s="54">
        <v>10</v>
      </c>
      <c r="BF43" s="54">
        <v>10</v>
      </c>
      <c r="BG43" s="54">
        <v>20</v>
      </c>
      <c r="BH43" s="54">
        <v>20</v>
      </c>
      <c r="BI43" s="54">
        <v>20</v>
      </c>
      <c r="BJ43" s="54">
        <v>20</v>
      </c>
      <c r="BK43" s="54">
        <v>20</v>
      </c>
      <c r="BL43" s="54">
        <v>20</v>
      </c>
      <c r="BM43" s="54">
        <v>10</v>
      </c>
      <c r="BN43" s="54">
        <v>10</v>
      </c>
      <c r="BO43" s="54">
        <v>10</v>
      </c>
      <c r="BP43" s="54">
        <v>6</v>
      </c>
      <c r="BQ43" s="54">
        <v>6</v>
      </c>
      <c r="BR43" s="54">
        <v>6</v>
      </c>
      <c r="BS43" s="54">
        <v>3</v>
      </c>
      <c r="BT43" s="54">
        <v>3</v>
      </c>
      <c r="BU43" s="54">
        <v>3</v>
      </c>
      <c r="BV43" s="54">
        <v>0</v>
      </c>
      <c r="BW43" s="54">
        <v>0</v>
      </c>
      <c r="BX43" s="54">
        <v>0</v>
      </c>
      <c r="BY43" s="54">
        <v>0</v>
      </c>
      <c r="BZ43" s="54">
        <v>0</v>
      </c>
      <c r="CA43" s="54">
        <v>0</v>
      </c>
      <c r="CB43" s="54">
        <v>0</v>
      </c>
      <c r="CC43" s="54">
        <v>0</v>
      </c>
      <c r="CD43" s="54">
        <v>0</v>
      </c>
      <c r="CE43" s="54">
        <v>0</v>
      </c>
      <c r="CF43" s="54">
        <v>0</v>
      </c>
      <c r="CG43" s="54">
        <v>0</v>
      </c>
      <c r="CH43" s="54">
        <v>0</v>
      </c>
      <c r="CI43" s="54">
        <v>0</v>
      </c>
      <c r="CJ43" s="54">
        <v>0</v>
      </c>
      <c r="CK43" s="54">
        <v>0</v>
      </c>
      <c r="CL43" s="54">
        <v>0</v>
      </c>
      <c r="CM43" s="54">
        <v>0</v>
      </c>
      <c r="CN43" s="54">
        <v>0</v>
      </c>
      <c r="CO43" s="54">
        <v>0</v>
      </c>
      <c r="CP43" s="54">
        <v>0</v>
      </c>
      <c r="CQ43" s="54">
        <v>0</v>
      </c>
      <c r="CR43" s="54">
        <v>0</v>
      </c>
      <c r="CS43" s="54">
        <v>0</v>
      </c>
    </row>
  </sheetData>
  <mergeCells count="11">
    <mergeCell ref="U4:W4"/>
    <mergeCell ref="X4:X5"/>
    <mergeCell ref="A1:B1"/>
    <mergeCell ref="A2:B2"/>
    <mergeCell ref="C1:F1"/>
    <mergeCell ref="C2:F2"/>
    <mergeCell ref="B4:F4"/>
    <mergeCell ref="G4:N4"/>
    <mergeCell ref="A4:A5"/>
    <mergeCell ref="O4:Q4"/>
    <mergeCell ref="R4:T4"/>
  </mergeCells>
  <phoneticPr fontId="6" type="noConversion"/>
  <pageMargins left="0.25" right="0.25"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FDE87-3CE2-344B-95BD-2021D71F8870}">
  <dimension ref="A1:X43"/>
  <sheetViews>
    <sheetView tabSelected="1" zoomScaleNormal="100" workbookViewId="0">
      <pane xSplit="1" ySplit="5" topLeftCell="H6" activePane="bottomRight" state="frozen"/>
      <selection pane="topRight" activeCell="B1" sqref="B1"/>
      <selection pane="bottomLeft" activeCell="A6" sqref="A6"/>
      <selection pane="bottomRight" activeCell="Q10" sqref="Q10"/>
    </sheetView>
  </sheetViews>
  <sheetFormatPr baseColWidth="10" defaultRowHeight="18" customHeight="1" x14ac:dyDescent="0.2"/>
  <cols>
    <col min="1" max="12" width="13.33203125" style="2" customWidth="1"/>
    <col min="13" max="23" width="13.33203125" style="3" customWidth="1"/>
    <col min="24" max="16384" width="10.83203125" style="3"/>
  </cols>
  <sheetData>
    <row r="1" spans="1:24" ht="18" customHeight="1" x14ac:dyDescent="0.2">
      <c r="A1" s="56" t="s">
        <v>523</v>
      </c>
      <c r="B1" s="56"/>
      <c r="C1" s="37" t="s">
        <v>525</v>
      </c>
      <c r="D1" s="37"/>
      <c r="E1" s="37"/>
      <c r="F1" s="37"/>
    </row>
    <row r="2" spans="1:24" ht="18" customHeight="1" x14ac:dyDescent="0.2">
      <c r="A2" s="56" t="s">
        <v>524</v>
      </c>
      <c r="B2" s="56"/>
      <c r="C2" s="37" t="s">
        <v>526</v>
      </c>
      <c r="D2" s="37"/>
      <c r="E2" s="37"/>
      <c r="F2" s="37"/>
    </row>
    <row r="4" spans="1:24" ht="18" customHeight="1" x14ac:dyDescent="0.2">
      <c r="A4" s="50" t="s">
        <v>42</v>
      </c>
      <c r="B4" s="50" t="s">
        <v>61</v>
      </c>
      <c r="C4" s="50"/>
      <c r="D4" s="50"/>
      <c r="E4" s="50"/>
      <c r="F4" s="50"/>
      <c r="G4" s="50" t="s">
        <v>60</v>
      </c>
      <c r="H4" s="50"/>
      <c r="I4" s="50"/>
      <c r="J4" s="50"/>
      <c r="K4" s="50"/>
      <c r="L4" s="50"/>
      <c r="M4" s="50"/>
      <c r="N4" s="50"/>
      <c r="O4" s="51" t="s">
        <v>62</v>
      </c>
      <c r="P4" s="52"/>
      <c r="Q4" s="53"/>
      <c r="R4" s="51" t="s">
        <v>67</v>
      </c>
      <c r="S4" s="52"/>
      <c r="T4" s="53"/>
      <c r="U4" s="51" t="s">
        <v>68</v>
      </c>
      <c r="V4" s="52"/>
      <c r="W4" s="53"/>
      <c r="X4" s="50" t="s">
        <v>541</v>
      </c>
    </row>
    <row r="5" spans="1:24" ht="18" customHeight="1" x14ac:dyDescent="0.2">
      <c r="A5" s="50"/>
      <c r="B5" s="49" t="s">
        <v>69</v>
      </c>
      <c r="C5" s="49" t="s">
        <v>43</v>
      </c>
      <c r="D5" s="49" t="s">
        <v>44</v>
      </c>
      <c r="E5" s="49" t="s">
        <v>45</v>
      </c>
      <c r="F5" s="49" t="s">
        <v>46</v>
      </c>
      <c r="G5" s="49" t="s">
        <v>47</v>
      </c>
      <c r="H5" s="49" t="s">
        <v>48</v>
      </c>
      <c r="I5" s="49" t="s">
        <v>49</v>
      </c>
      <c r="J5" s="49" t="s">
        <v>50</v>
      </c>
      <c r="K5" s="49" t="s">
        <v>51</v>
      </c>
      <c r="L5" s="49" t="s">
        <v>52</v>
      </c>
      <c r="M5" s="49" t="s">
        <v>53</v>
      </c>
      <c r="N5" s="49" t="s">
        <v>54</v>
      </c>
      <c r="O5" s="49" t="s">
        <v>55</v>
      </c>
      <c r="P5" s="49" t="s">
        <v>56</v>
      </c>
      <c r="Q5" s="49" t="s">
        <v>57</v>
      </c>
      <c r="R5" s="49" t="s">
        <v>58</v>
      </c>
      <c r="S5" s="49" t="s">
        <v>59</v>
      </c>
      <c r="T5" s="49" t="s">
        <v>63</v>
      </c>
      <c r="U5" s="49" t="s">
        <v>64</v>
      </c>
      <c r="V5" s="49" t="s">
        <v>65</v>
      </c>
      <c r="W5" s="49" t="s">
        <v>66</v>
      </c>
      <c r="X5" s="50"/>
    </row>
    <row r="6" spans="1:24" ht="18" customHeight="1" x14ac:dyDescent="0.2">
      <c r="A6" s="11">
        <v>1</v>
      </c>
      <c r="B6" s="11" t="s">
        <v>72</v>
      </c>
      <c r="C6" s="11" t="s">
        <v>73</v>
      </c>
      <c r="D6" s="11" t="s">
        <v>74</v>
      </c>
      <c r="E6" s="11" t="s">
        <v>75</v>
      </c>
      <c r="F6" s="11" t="s">
        <v>76</v>
      </c>
      <c r="G6" s="11" t="s">
        <v>47</v>
      </c>
      <c r="H6" s="11" t="s">
        <v>77</v>
      </c>
      <c r="I6" s="11" t="s">
        <v>78</v>
      </c>
      <c r="J6" s="11" t="s">
        <v>79</v>
      </c>
      <c r="K6" s="11" t="s">
        <v>51</v>
      </c>
      <c r="L6" s="11" t="s">
        <v>80</v>
      </c>
      <c r="M6" s="14" t="s">
        <v>53</v>
      </c>
      <c r="N6" s="14" t="s">
        <v>81</v>
      </c>
      <c r="O6" s="14" t="s">
        <v>55</v>
      </c>
      <c r="P6" s="14" t="s">
        <v>56</v>
      </c>
      <c r="Q6" s="14" t="s">
        <v>57</v>
      </c>
      <c r="R6" s="14" t="s">
        <v>58</v>
      </c>
      <c r="S6" s="14" t="s">
        <v>59</v>
      </c>
      <c r="T6" s="14" t="s">
        <v>63</v>
      </c>
      <c r="U6" s="14" t="s">
        <v>64</v>
      </c>
      <c r="V6" s="14" t="s">
        <v>65</v>
      </c>
      <c r="W6" s="14" t="s">
        <v>66</v>
      </c>
      <c r="X6" s="55">
        <v>10</v>
      </c>
    </row>
    <row r="7" spans="1:24" ht="18" customHeight="1" x14ac:dyDescent="0.2">
      <c r="A7" s="11">
        <v>2</v>
      </c>
      <c r="B7" s="11" t="s">
        <v>82</v>
      </c>
      <c r="C7" s="11" t="s">
        <v>83</v>
      </c>
      <c r="D7" s="11" t="s">
        <v>84</v>
      </c>
      <c r="E7" s="11" t="s">
        <v>85</v>
      </c>
      <c r="F7" s="11" t="s">
        <v>86</v>
      </c>
      <c r="G7" s="11" t="s">
        <v>48</v>
      </c>
      <c r="H7" s="11" t="s">
        <v>87</v>
      </c>
      <c r="I7" s="11" t="s">
        <v>88</v>
      </c>
      <c r="J7" s="11" t="s">
        <v>89</v>
      </c>
      <c r="K7" s="11" t="s">
        <v>52</v>
      </c>
      <c r="L7" s="11" t="s">
        <v>90</v>
      </c>
      <c r="M7" s="14" t="s">
        <v>54</v>
      </c>
      <c r="N7" s="14" t="s">
        <v>81</v>
      </c>
      <c r="O7" s="14" t="s">
        <v>55</v>
      </c>
      <c r="P7" s="14" t="s">
        <v>56</v>
      </c>
      <c r="Q7" s="14" t="s">
        <v>57</v>
      </c>
      <c r="R7" s="14" t="s">
        <v>58</v>
      </c>
      <c r="S7" s="14" t="s">
        <v>59</v>
      </c>
      <c r="T7" s="14" t="s">
        <v>63</v>
      </c>
      <c r="U7" s="14" t="s">
        <v>64</v>
      </c>
      <c r="V7" s="14" t="s">
        <v>65</v>
      </c>
      <c r="W7" s="14" t="s">
        <v>66</v>
      </c>
      <c r="X7" s="55">
        <v>10</v>
      </c>
    </row>
    <row r="8" spans="1:24" ht="18" customHeight="1" x14ac:dyDescent="0.2">
      <c r="A8" s="11">
        <v>3</v>
      </c>
      <c r="B8" s="11" t="s">
        <v>91</v>
      </c>
      <c r="C8" s="11" t="s">
        <v>92</v>
      </c>
      <c r="D8" s="11" t="s">
        <v>93</v>
      </c>
      <c r="E8" s="11" t="s">
        <v>94</v>
      </c>
      <c r="F8" s="11" t="s">
        <v>95</v>
      </c>
      <c r="G8" s="11" t="s">
        <v>96</v>
      </c>
      <c r="H8" s="11" t="s">
        <v>97</v>
      </c>
      <c r="I8" s="11" t="s">
        <v>98</v>
      </c>
      <c r="J8" s="11" t="s">
        <v>99</v>
      </c>
      <c r="K8" s="11" t="s">
        <v>100</v>
      </c>
      <c r="L8" s="11" t="s">
        <v>101</v>
      </c>
      <c r="M8" s="14" t="s">
        <v>102</v>
      </c>
      <c r="N8" s="14" t="s">
        <v>81</v>
      </c>
      <c r="O8" s="14" t="s">
        <v>55</v>
      </c>
      <c r="P8" s="14" t="s">
        <v>56</v>
      </c>
      <c r="Q8" s="14" t="s">
        <v>57</v>
      </c>
      <c r="R8" s="14" t="s">
        <v>58</v>
      </c>
      <c r="S8" s="14" t="s">
        <v>59</v>
      </c>
      <c r="T8" s="14" t="s">
        <v>63</v>
      </c>
      <c r="U8" s="14" t="s">
        <v>64</v>
      </c>
      <c r="V8" s="14" t="s">
        <v>65</v>
      </c>
      <c r="W8" s="14" t="s">
        <v>66</v>
      </c>
      <c r="X8" s="55">
        <v>10</v>
      </c>
    </row>
    <row r="9" spans="1:24" ht="18" customHeight="1" x14ac:dyDescent="0.2">
      <c r="A9" s="11">
        <v>4</v>
      </c>
      <c r="B9" s="11" t="s">
        <v>103</v>
      </c>
      <c r="C9" s="11" t="s">
        <v>104</v>
      </c>
      <c r="D9" s="11" t="s">
        <v>105</v>
      </c>
      <c r="E9" s="11" t="s">
        <v>106</v>
      </c>
      <c r="F9" s="11" t="s">
        <v>107</v>
      </c>
      <c r="G9" s="11" t="s">
        <v>108</v>
      </c>
      <c r="H9" s="11" t="s">
        <v>109</v>
      </c>
      <c r="I9" s="11" t="s">
        <v>110</v>
      </c>
      <c r="J9" s="11" t="s">
        <v>111</v>
      </c>
      <c r="K9" s="11" t="s">
        <v>112</v>
      </c>
      <c r="L9" s="11" t="s">
        <v>113</v>
      </c>
      <c r="M9" s="14" t="s">
        <v>114</v>
      </c>
      <c r="N9" s="14" t="s">
        <v>81</v>
      </c>
      <c r="O9" s="14" t="s">
        <v>55</v>
      </c>
      <c r="P9" s="14" t="s">
        <v>56</v>
      </c>
      <c r="Q9" s="14" t="s">
        <v>57</v>
      </c>
      <c r="R9" s="14" t="s">
        <v>58</v>
      </c>
      <c r="S9" s="14" t="s">
        <v>59</v>
      </c>
      <c r="T9" s="14" t="s">
        <v>63</v>
      </c>
      <c r="U9" s="14" t="s">
        <v>64</v>
      </c>
      <c r="V9" s="14" t="s">
        <v>65</v>
      </c>
      <c r="W9" s="14" t="s">
        <v>66</v>
      </c>
      <c r="X9" s="55">
        <v>10</v>
      </c>
    </row>
    <row r="10" spans="1:24" ht="18" customHeight="1" x14ac:dyDescent="0.2">
      <c r="A10" s="11">
        <v>5</v>
      </c>
      <c r="B10" s="11" t="s">
        <v>115</v>
      </c>
      <c r="C10" s="11" t="s">
        <v>116</v>
      </c>
      <c r="D10" s="11" t="s">
        <v>117</v>
      </c>
      <c r="E10" s="11" t="s">
        <v>118</v>
      </c>
      <c r="F10" s="11" t="s">
        <v>119</v>
      </c>
      <c r="G10" s="11" t="s">
        <v>120</v>
      </c>
      <c r="H10" s="11" t="s">
        <v>121</v>
      </c>
      <c r="I10" s="11" t="s">
        <v>122</v>
      </c>
      <c r="J10" s="11" t="s">
        <v>123</v>
      </c>
      <c r="K10" s="11" t="s">
        <v>124</v>
      </c>
      <c r="L10" s="11" t="s">
        <v>125</v>
      </c>
      <c r="M10" s="14" t="s">
        <v>126</v>
      </c>
      <c r="N10" s="14" t="s">
        <v>81</v>
      </c>
      <c r="O10" s="14" t="s">
        <v>55</v>
      </c>
      <c r="P10" s="14" t="s">
        <v>56</v>
      </c>
      <c r="Q10" s="14" t="s">
        <v>57</v>
      </c>
      <c r="R10" s="14" t="s">
        <v>58</v>
      </c>
      <c r="S10" s="14" t="s">
        <v>59</v>
      </c>
      <c r="T10" s="14" t="s">
        <v>63</v>
      </c>
      <c r="U10" s="14" t="s">
        <v>64</v>
      </c>
      <c r="V10" s="14" t="s">
        <v>65</v>
      </c>
      <c r="W10" s="14" t="s">
        <v>66</v>
      </c>
      <c r="X10" s="55">
        <v>10</v>
      </c>
    </row>
    <row r="11" spans="1:24" ht="18" customHeight="1" x14ac:dyDescent="0.2">
      <c r="A11" s="11">
        <v>6</v>
      </c>
      <c r="B11" s="11" t="s">
        <v>127</v>
      </c>
      <c r="C11" s="11" t="s">
        <v>128</v>
      </c>
      <c r="D11" s="11" t="s">
        <v>129</v>
      </c>
      <c r="E11" s="11" t="s">
        <v>130</v>
      </c>
      <c r="F11" s="11" t="s">
        <v>131</v>
      </c>
      <c r="G11" s="11" t="s">
        <v>132</v>
      </c>
      <c r="H11" s="11" t="s">
        <v>133</v>
      </c>
      <c r="I11" s="11" t="s">
        <v>134</v>
      </c>
      <c r="J11" s="11" t="s">
        <v>135</v>
      </c>
      <c r="K11" s="11" t="s">
        <v>136</v>
      </c>
      <c r="L11" s="11" t="s">
        <v>137</v>
      </c>
      <c r="M11" s="14" t="s">
        <v>138</v>
      </c>
      <c r="N11" s="14" t="s">
        <v>81</v>
      </c>
      <c r="O11" s="14" t="s">
        <v>55</v>
      </c>
      <c r="P11" s="14" t="s">
        <v>56</v>
      </c>
      <c r="Q11" s="14" t="s">
        <v>57</v>
      </c>
      <c r="R11" s="14" t="s">
        <v>58</v>
      </c>
      <c r="S11" s="14" t="s">
        <v>59</v>
      </c>
      <c r="T11" s="14" t="s">
        <v>63</v>
      </c>
      <c r="U11" s="14" t="s">
        <v>64</v>
      </c>
      <c r="V11" s="14" t="s">
        <v>65</v>
      </c>
      <c r="W11" s="14" t="s">
        <v>66</v>
      </c>
      <c r="X11" s="55">
        <v>10</v>
      </c>
    </row>
    <row r="12" spans="1:24" ht="18" customHeight="1" x14ac:dyDescent="0.2">
      <c r="A12" s="11">
        <v>7</v>
      </c>
      <c r="B12" s="11" t="s">
        <v>139</v>
      </c>
      <c r="C12" s="11" t="s">
        <v>140</v>
      </c>
      <c r="D12" s="11" t="s">
        <v>141</v>
      </c>
      <c r="E12" s="11" t="s">
        <v>142</v>
      </c>
      <c r="F12" s="11" t="s">
        <v>143</v>
      </c>
      <c r="G12" s="11" t="s">
        <v>144</v>
      </c>
      <c r="H12" s="11" t="s">
        <v>145</v>
      </c>
      <c r="I12" s="11" t="s">
        <v>146</v>
      </c>
      <c r="J12" s="11" t="s">
        <v>147</v>
      </c>
      <c r="K12" s="11" t="s">
        <v>148</v>
      </c>
      <c r="L12" s="11" t="s">
        <v>149</v>
      </c>
      <c r="M12" s="14" t="s">
        <v>150</v>
      </c>
      <c r="N12" s="14" t="s">
        <v>81</v>
      </c>
      <c r="O12" s="14" t="s">
        <v>55</v>
      </c>
      <c r="P12" s="14" t="s">
        <v>56</v>
      </c>
      <c r="Q12" s="14" t="s">
        <v>57</v>
      </c>
      <c r="R12" s="14" t="s">
        <v>58</v>
      </c>
      <c r="S12" s="14" t="s">
        <v>59</v>
      </c>
      <c r="T12" s="14" t="s">
        <v>63</v>
      </c>
      <c r="U12" s="14" t="s">
        <v>64</v>
      </c>
      <c r="V12" s="14" t="s">
        <v>65</v>
      </c>
      <c r="W12" s="14" t="s">
        <v>66</v>
      </c>
      <c r="X12" s="55">
        <v>10</v>
      </c>
    </row>
    <row r="13" spans="1:24" ht="18" customHeight="1" x14ac:dyDescent="0.2">
      <c r="A13" s="11">
        <v>8</v>
      </c>
      <c r="B13" s="11" t="s">
        <v>151</v>
      </c>
      <c r="C13" s="11" t="s">
        <v>152</v>
      </c>
      <c r="D13" s="11" t="s">
        <v>153</v>
      </c>
      <c r="E13" s="11" t="s">
        <v>154</v>
      </c>
      <c r="F13" s="11" t="s">
        <v>155</v>
      </c>
      <c r="G13" s="11" t="s">
        <v>156</v>
      </c>
      <c r="H13" s="11" t="s">
        <v>157</v>
      </c>
      <c r="I13" s="11" t="s">
        <v>158</v>
      </c>
      <c r="J13" s="11" t="s">
        <v>159</v>
      </c>
      <c r="K13" s="11" t="s">
        <v>160</v>
      </c>
      <c r="L13" s="11" t="s">
        <v>161</v>
      </c>
      <c r="M13" s="14" t="s">
        <v>162</v>
      </c>
      <c r="N13" s="14" t="s">
        <v>81</v>
      </c>
      <c r="O13" s="14" t="s">
        <v>55</v>
      </c>
      <c r="P13" s="14" t="s">
        <v>56</v>
      </c>
      <c r="Q13" s="14" t="s">
        <v>57</v>
      </c>
      <c r="R13" s="14" t="s">
        <v>58</v>
      </c>
      <c r="S13" s="14" t="s">
        <v>59</v>
      </c>
      <c r="T13" s="14" t="s">
        <v>63</v>
      </c>
      <c r="U13" s="14" t="s">
        <v>64</v>
      </c>
      <c r="V13" s="14" t="s">
        <v>65</v>
      </c>
      <c r="W13" s="14" t="s">
        <v>66</v>
      </c>
      <c r="X13" s="55">
        <v>10</v>
      </c>
    </row>
    <row r="14" spans="1:24" ht="18" customHeight="1" x14ac:dyDescent="0.2">
      <c r="A14" s="11">
        <v>9</v>
      </c>
      <c r="B14" s="11" t="s">
        <v>163</v>
      </c>
      <c r="C14" s="11" t="s">
        <v>164</v>
      </c>
      <c r="D14" s="11" t="s">
        <v>165</v>
      </c>
      <c r="E14" s="11" t="s">
        <v>166</v>
      </c>
      <c r="F14" s="11" t="s">
        <v>167</v>
      </c>
      <c r="G14" s="11" t="s">
        <v>168</v>
      </c>
      <c r="H14" s="11" t="s">
        <v>169</v>
      </c>
      <c r="I14" s="11" t="s">
        <v>170</v>
      </c>
      <c r="J14" s="11" t="s">
        <v>171</v>
      </c>
      <c r="K14" s="11" t="s">
        <v>172</v>
      </c>
      <c r="L14" s="11" t="s">
        <v>173</v>
      </c>
      <c r="M14" s="14" t="s">
        <v>174</v>
      </c>
      <c r="N14" s="14" t="s">
        <v>81</v>
      </c>
      <c r="O14" s="14" t="s">
        <v>55</v>
      </c>
      <c r="P14" s="14" t="s">
        <v>56</v>
      </c>
      <c r="Q14" s="14" t="s">
        <v>57</v>
      </c>
      <c r="R14" s="14" t="s">
        <v>58</v>
      </c>
      <c r="S14" s="14" t="s">
        <v>59</v>
      </c>
      <c r="T14" s="14" t="s">
        <v>63</v>
      </c>
      <c r="U14" s="14" t="s">
        <v>64</v>
      </c>
      <c r="V14" s="14" t="s">
        <v>65</v>
      </c>
      <c r="W14" s="14" t="s">
        <v>66</v>
      </c>
      <c r="X14" s="55">
        <v>10</v>
      </c>
    </row>
    <row r="15" spans="1:24" ht="18" customHeight="1" x14ac:dyDescent="0.2">
      <c r="A15" s="11">
        <v>10</v>
      </c>
      <c r="B15" s="11" t="s">
        <v>175</v>
      </c>
      <c r="C15" s="11" t="s">
        <v>176</v>
      </c>
      <c r="D15" s="11" t="s">
        <v>177</v>
      </c>
      <c r="E15" s="11" t="s">
        <v>178</v>
      </c>
      <c r="F15" s="11" t="s">
        <v>179</v>
      </c>
      <c r="G15" s="11" t="s">
        <v>180</v>
      </c>
      <c r="H15" s="11" t="s">
        <v>181</v>
      </c>
      <c r="I15" s="11" t="s">
        <v>182</v>
      </c>
      <c r="J15" s="11" t="s">
        <v>183</v>
      </c>
      <c r="K15" s="11" t="s">
        <v>184</v>
      </c>
      <c r="L15" s="11" t="s">
        <v>185</v>
      </c>
      <c r="M15" s="14" t="s">
        <v>186</v>
      </c>
      <c r="N15" s="14" t="s">
        <v>81</v>
      </c>
      <c r="O15" s="14" t="s">
        <v>55</v>
      </c>
      <c r="P15" s="14" t="s">
        <v>56</v>
      </c>
      <c r="Q15" s="14" t="s">
        <v>57</v>
      </c>
      <c r="R15" s="14" t="s">
        <v>58</v>
      </c>
      <c r="S15" s="14" t="s">
        <v>59</v>
      </c>
      <c r="T15" s="14" t="s">
        <v>63</v>
      </c>
      <c r="U15" s="14" t="s">
        <v>64</v>
      </c>
      <c r="V15" s="14" t="s">
        <v>65</v>
      </c>
      <c r="W15" s="14" t="s">
        <v>66</v>
      </c>
      <c r="X15" s="55">
        <v>10</v>
      </c>
    </row>
    <row r="16" spans="1:24" ht="18" customHeight="1" x14ac:dyDescent="0.2">
      <c r="A16" s="11">
        <v>11</v>
      </c>
      <c r="B16" s="11" t="s">
        <v>187</v>
      </c>
      <c r="C16" s="11" t="s">
        <v>188</v>
      </c>
      <c r="D16" s="11" t="s">
        <v>189</v>
      </c>
      <c r="E16" s="11" t="s">
        <v>190</v>
      </c>
      <c r="F16" s="11" t="s">
        <v>191</v>
      </c>
      <c r="G16" s="11" t="s">
        <v>192</v>
      </c>
      <c r="H16" s="11" t="s">
        <v>193</v>
      </c>
      <c r="I16" s="11" t="s">
        <v>194</v>
      </c>
      <c r="J16" s="11" t="s">
        <v>195</v>
      </c>
      <c r="K16" s="11" t="s">
        <v>196</v>
      </c>
      <c r="L16" s="11" t="s">
        <v>197</v>
      </c>
      <c r="M16" s="14" t="s">
        <v>198</v>
      </c>
      <c r="N16" s="14" t="s">
        <v>81</v>
      </c>
      <c r="O16" s="14" t="s">
        <v>55</v>
      </c>
      <c r="P16" s="14" t="s">
        <v>56</v>
      </c>
      <c r="Q16" s="14" t="s">
        <v>57</v>
      </c>
      <c r="R16" s="14" t="s">
        <v>58</v>
      </c>
      <c r="S16" s="14" t="s">
        <v>59</v>
      </c>
      <c r="T16" s="14" t="s">
        <v>63</v>
      </c>
      <c r="U16" s="14" t="s">
        <v>64</v>
      </c>
      <c r="V16" s="14" t="s">
        <v>65</v>
      </c>
      <c r="W16" s="14" t="s">
        <v>66</v>
      </c>
      <c r="X16" s="55">
        <v>10</v>
      </c>
    </row>
    <row r="17" spans="1:24" ht="18" customHeight="1" x14ac:dyDescent="0.2">
      <c r="A17" s="11">
        <v>12</v>
      </c>
      <c r="B17" s="11" t="s">
        <v>199</v>
      </c>
      <c r="C17" s="11" t="s">
        <v>200</v>
      </c>
      <c r="D17" s="11" t="s">
        <v>201</v>
      </c>
      <c r="E17" s="11" t="s">
        <v>202</v>
      </c>
      <c r="F17" s="11" t="s">
        <v>203</v>
      </c>
      <c r="G17" s="11" t="s">
        <v>204</v>
      </c>
      <c r="H17" s="11" t="s">
        <v>205</v>
      </c>
      <c r="I17" s="11" t="s">
        <v>206</v>
      </c>
      <c r="J17" s="11" t="s">
        <v>207</v>
      </c>
      <c r="K17" s="11" t="s">
        <v>208</v>
      </c>
      <c r="L17" s="11" t="s">
        <v>209</v>
      </c>
      <c r="M17" s="14" t="s">
        <v>210</v>
      </c>
      <c r="N17" s="14" t="s">
        <v>81</v>
      </c>
      <c r="O17" s="14" t="s">
        <v>55</v>
      </c>
      <c r="P17" s="14" t="s">
        <v>56</v>
      </c>
      <c r="Q17" s="14" t="s">
        <v>57</v>
      </c>
      <c r="R17" s="14" t="s">
        <v>58</v>
      </c>
      <c r="S17" s="14" t="s">
        <v>59</v>
      </c>
      <c r="T17" s="14" t="s">
        <v>63</v>
      </c>
      <c r="U17" s="14" t="s">
        <v>64</v>
      </c>
      <c r="V17" s="14" t="s">
        <v>65</v>
      </c>
      <c r="W17" s="14" t="s">
        <v>66</v>
      </c>
      <c r="X17" s="55">
        <v>10</v>
      </c>
    </row>
    <row r="18" spans="1:24" ht="18" customHeight="1" x14ac:dyDescent="0.2">
      <c r="A18" s="11">
        <v>13</v>
      </c>
      <c r="B18" s="11" t="s">
        <v>211</v>
      </c>
      <c r="C18" s="11" t="s">
        <v>212</v>
      </c>
      <c r="D18" s="11" t="s">
        <v>213</v>
      </c>
      <c r="E18" s="11" t="s">
        <v>214</v>
      </c>
      <c r="F18" s="11" t="s">
        <v>215</v>
      </c>
      <c r="G18" s="11" t="s">
        <v>216</v>
      </c>
      <c r="H18" s="11" t="s">
        <v>217</v>
      </c>
      <c r="I18" s="11" t="s">
        <v>218</v>
      </c>
      <c r="J18" s="11" t="s">
        <v>219</v>
      </c>
      <c r="K18" s="11" t="s">
        <v>220</v>
      </c>
      <c r="L18" s="11" t="s">
        <v>221</v>
      </c>
      <c r="M18" s="14" t="s">
        <v>222</v>
      </c>
      <c r="N18" s="14" t="s">
        <v>81</v>
      </c>
      <c r="O18" s="14" t="s">
        <v>55</v>
      </c>
      <c r="P18" s="14" t="s">
        <v>56</v>
      </c>
      <c r="Q18" s="14" t="s">
        <v>57</v>
      </c>
      <c r="R18" s="14" t="s">
        <v>58</v>
      </c>
      <c r="S18" s="14" t="s">
        <v>59</v>
      </c>
      <c r="T18" s="14" t="s">
        <v>63</v>
      </c>
      <c r="U18" s="14" t="s">
        <v>64</v>
      </c>
      <c r="V18" s="14" t="s">
        <v>65</v>
      </c>
      <c r="W18" s="14" t="s">
        <v>66</v>
      </c>
      <c r="X18" s="55">
        <v>10</v>
      </c>
    </row>
    <row r="19" spans="1:24" ht="18" customHeight="1" x14ac:dyDescent="0.2">
      <c r="A19" s="11">
        <v>14</v>
      </c>
      <c r="B19" s="11" t="s">
        <v>223</v>
      </c>
      <c r="C19" s="11" t="s">
        <v>224</v>
      </c>
      <c r="D19" s="11" t="s">
        <v>225</v>
      </c>
      <c r="E19" s="11" t="s">
        <v>226</v>
      </c>
      <c r="F19" s="11" t="s">
        <v>227</v>
      </c>
      <c r="G19" s="11" t="s">
        <v>228</v>
      </c>
      <c r="H19" s="11" t="s">
        <v>229</v>
      </c>
      <c r="I19" s="11" t="s">
        <v>230</v>
      </c>
      <c r="J19" s="11" t="s">
        <v>231</v>
      </c>
      <c r="K19" s="11" t="s">
        <v>232</v>
      </c>
      <c r="L19" s="11" t="s">
        <v>233</v>
      </c>
      <c r="M19" s="14" t="s">
        <v>234</v>
      </c>
      <c r="N19" s="14" t="s">
        <v>81</v>
      </c>
      <c r="O19" s="14" t="s">
        <v>55</v>
      </c>
      <c r="P19" s="14" t="s">
        <v>56</v>
      </c>
      <c r="Q19" s="14" t="s">
        <v>57</v>
      </c>
      <c r="R19" s="14" t="s">
        <v>58</v>
      </c>
      <c r="S19" s="14" t="s">
        <v>59</v>
      </c>
      <c r="T19" s="14" t="s">
        <v>63</v>
      </c>
      <c r="U19" s="14" t="s">
        <v>64</v>
      </c>
      <c r="V19" s="14" t="s">
        <v>65</v>
      </c>
      <c r="W19" s="14" t="s">
        <v>66</v>
      </c>
      <c r="X19" s="55">
        <v>10</v>
      </c>
    </row>
    <row r="20" spans="1:24" ht="18" customHeight="1" x14ac:dyDescent="0.2">
      <c r="A20" s="11">
        <v>15</v>
      </c>
      <c r="B20" s="11" t="s">
        <v>235</v>
      </c>
      <c r="C20" s="11" t="s">
        <v>236</v>
      </c>
      <c r="D20" s="11" t="s">
        <v>237</v>
      </c>
      <c r="E20" s="11" t="s">
        <v>238</v>
      </c>
      <c r="F20" s="11" t="s">
        <v>239</v>
      </c>
      <c r="G20" s="11" t="s">
        <v>240</v>
      </c>
      <c r="H20" s="11" t="s">
        <v>241</v>
      </c>
      <c r="I20" s="11" t="s">
        <v>242</v>
      </c>
      <c r="J20" s="11" t="s">
        <v>243</v>
      </c>
      <c r="K20" s="11" t="s">
        <v>244</v>
      </c>
      <c r="L20" s="11" t="s">
        <v>245</v>
      </c>
      <c r="M20" s="14" t="s">
        <v>246</v>
      </c>
      <c r="N20" s="14" t="s">
        <v>81</v>
      </c>
      <c r="O20" s="14" t="s">
        <v>55</v>
      </c>
      <c r="P20" s="14" t="s">
        <v>56</v>
      </c>
      <c r="Q20" s="14" t="s">
        <v>57</v>
      </c>
      <c r="R20" s="14" t="s">
        <v>58</v>
      </c>
      <c r="S20" s="14" t="s">
        <v>59</v>
      </c>
      <c r="T20" s="14" t="s">
        <v>63</v>
      </c>
      <c r="U20" s="14" t="s">
        <v>64</v>
      </c>
      <c r="V20" s="14" t="s">
        <v>65</v>
      </c>
      <c r="W20" s="14" t="s">
        <v>66</v>
      </c>
      <c r="X20" s="55">
        <v>10</v>
      </c>
    </row>
    <row r="21" spans="1:24" ht="18" customHeight="1" x14ac:dyDescent="0.2">
      <c r="A21" s="11">
        <v>16</v>
      </c>
      <c r="B21" s="11" t="s">
        <v>247</v>
      </c>
      <c r="C21" s="11" t="s">
        <v>248</v>
      </c>
      <c r="D21" s="11" t="s">
        <v>249</v>
      </c>
      <c r="E21" s="11" t="s">
        <v>250</v>
      </c>
      <c r="F21" s="11" t="s">
        <v>251</v>
      </c>
      <c r="G21" s="11" t="s">
        <v>252</v>
      </c>
      <c r="H21" s="11" t="s">
        <v>253</v>
      </c>
      <c r="I21" s="11" t="s">
        <v>254</v>
      </c>
      <c r="J21" s="11" t="s">
        <v>255</v>
      </c>
      <c r="K21" s="11" t="s">
        <v>256</v>
      </c>
      <c r="L21" s="11" t="s">
        <v>257</v>
      </c>
      <c r="M21" s="14" t="s">
        <v>258</v>
      </c>
      <c r="N21" s="14" t="s">
        <v>81</v>
      </c>
      <c r="O21" s="14" t="s">
        <v>55</v>
      </c>
      <c r="P21" s="14" t="s">
        <v>56</v>
      </c>
      <c r="Q21" s="14" t="s">
        <v>57</v>
      </c>
      <c r="R21" s="14" t="s">
        <v>58</v>
      </c>
      <c r="S21" s="14" t="s">
        <v>59</v>
      </c>
      <c r="T21" s="14" t="s">
        <v>63</v>
      </c>
      <c r="U21" s="14" t="s">
        <v>64</v>
      </c>
      <c r="V21" s="14" t="s">
        <v>65</v>
      </c>
      <c r="W21" s="14" t="s">
        <v>66</v>
      </c>
      <c r="X21" s="55">
        <v>10</v>
      </c>
    </row>
    <row r="22" spans="1:24" ht="18" customHeight="1" x14ac:dyDescent="0.2">
      <c r="A22" s="11">
        <v>17</v>
      </c>
      <c r="B22" s="11" t="s">
        <v>259</v>
      </c>
      <c r="C22" s="11" t="s">
        <v>260</v>
      </c>
      <c r="D22" s="11" t="s">
        <v>261</v>
      </c>
      <c r="E22" s="11" t="s">
        <v>262</v>
      </c>
      <c r="F22" s="11" t="s">
        <v>263</v>
      </c>
      <c r="G22" s="11" t="s">
        <v>264</v>
      </c>
      <c r="H22" s="11" t="s">
        <v>265</v>
      </c>
      <c r="I22" s="11" t="s">
        <v>266</v>
      </c>
      <c r="J22" s="11" t="s">
        <v>267</v>
      </c>
      <c r="K22" s="11" t="s">
        <v>268</v>
      </c>
      <c r="L22" s="11" t="s">
        <v>269</v>
      </c>
      <c r="M22" s="14" t="s">
        <v>270</v>
      </c>
      <c r="N22" s="14" t="s">
        <v>81</v>
      </c>
      <c r="O22" s="14" t="s">
        <v>55</v>
      </c>
      <c r="P22" s="14" t="s">
        <v>56</v>
      </c>
      <c r="Q22" s="14" t="s">
        <v>57</v>
      </c>
      <c r="R22" s="14" t="s">
        <v>58</v>
      </c>
      <c r="S22" s="14" t="s">
        <v>59</v>
      </c>
      <c r="T22" s="14" t="s">
        <v>63</v>
      </c>
      <c r="U22" s="14" t="s">
        <v>64</v>
      </c>
      <c r="V22" s="14" t="s">
        <v>65</v>
      </c>
      <c r="W22" s="14" t="s">
        <v>66</v>
      </c>
      <c r="X22" s="55">
        <v>10</v>
      </c>
    </row>
    <row r="23" spans="1:24" ht="18" customHeight="1" x14ac:dyDescent="0.2">
      <c r="A23" s="11">
        <v>18</v>
      </c>
      <c r="B23" s="11" t="s">
        <v>271</v>
      </c>
      <c r="C23" s="11" t="s">
        <v>272</v>
      </c>
      <c r="D23" s="11" t="s">
        <v>273</v>
      </c>
      <c r="E23" s="11" t="s">
        <v>274</v>
      </c>
      <c r="F23" s="11" t="s">
        <v>275</v>
      </c>
      <c r="G23" s="11" t="s">
        <v>276</v>
      </c>
      <c r="H23" s="11" t="s">
        <v>277</v>
      </c>
      <c r="I23" s="11" t="s">
        <v>278</v>
      </c>
      <c r="J23" s="11" t="s">
        <v>279</v>
      </c>
      <c r="K23" s="11" t="s">
        <v>280</v>
      </c>
      <c r="L23" s="11" t="s">
        <v>281</v>
      </c>
      <c r="M23" s="14" t="s">
        <v>282</v>
      </c>
      <c r="N23" s="14" t="s">
        <v>81</v>
      </c>
      <c r="O23" s="14" t="s">
        <v>55</v>
      </c>
      <c r="P23" s="14" t="s">
        <v>56</v>
      </c>
      <c r="Q23" s="14" t="s">
        <v>57</v>
      </c>
      <c r="R23" s="14" t="s">
        <v>58</v>
      </c>
      <c r="S23" s="14" t="s">
        <v>59</v>
      </c>
      <c r="T23" s="14" t="s">
        <v>63</v>
      </c>
      <c r="U23" s="14" t="s">
        <v>64</v>
      </c>
      <c r="V23" s="14" t="s">
        <v>65</v>
      </c>
      <c r="W23" s="14" t="s">
        <v>66</v>
      </c>
      <c r="X23" s="55">
        <v>10</v>
      </c>
    </row>
    <row r="24" spans="1:24" ht="18" customHeight="1" x14ac:dyDescent="0.2">
      <c r="A24" s="11">
        <v>19</v>
      </c>
      <c r="B24" s="11" t="s">
        <v>283</v>
      </c>
      <c r="C24" s="11" t="s">
        <v>284</v>
      </c>
      <c r="D24" s="11" t="s">
        <v>285</v>
      </c>
      <c r="E24" s="11" t="s">
        <v>286</v>
      </c>
      <c r="F24" s="11" t="s">
        <v>287</v>
      </c>
      <c r="G24" s="11" t="s">
        <v>288</v>
      </c>
      <c r="H24" s="11" t="s">
        <v>289</v>
      </c>
      <c r="I24" s="11" t="s">
        <v>290</v>
      </c>
      <c r="J24" s="11" t="s">
        <v>291</v>
      </c>
      <c r="K24" s="11" t="s">
        <v>292</v>
      </c>
      <c r="L24" s="11" t="s">
        <v>293</v>
      </c>
      <c r="M24" s="14" t="s">
        <v>294</v>
      </c>
      <c r="N24" s="14" t="s">
        <v>81</v>
      </c>
      <c r="O24" s="14" t="s">
        <v>55</v>
      </c>
      <c r="P24" s="14" t="s">
        <v>56</v>
      </c>
      <c r="Q24" s="14" t="s">
        <v>57</v>
      </c>
      <c r="R24" s="14" t="s">
        <v>58</v>
      </c>
      <c r="S24" s="14" t="s">
        <v>59</v>
      </c>
      <c r="T24" s="14" t="s">
        <v>63</v>
      </c>
      <c r="U24" s="14" t="s">
        <v>64</v>
      </c>
      <c r="V24" s="14" t="s">
        <v>65</v>
      </c>
      <c r="W24" s="14" t="s">
        <v>66</v>
      </c>
      <c r="X24" s="55">
        <v>10</v>
      </c>
    </row>
    <row r="25" spans="1:24" ht="18" customHeight="1" x14ac:dyDescent="0.2">
      <c r="A25" s="11">
        <v>20</v>
      </c>
      <c r="B25" s="11" t="s">
        <v>295</v>
      </c>
      <c r="C25" s="11" t="s">
        <v>296</v>
      </c>
      <c r="D25" s="11" t="s">
        <v>297</v>
      </c>
      <c r="E25" s="11" t="s">
        <v>298</v>
      </c>
      <c r="F25" s="11" t="s">
        <v>299</v>
      </c>
      <c r="G25" s="11" t="s">
        <v>300</v>
      </c>
      <c r="H25" s="11" t="s">
        <v>301</v>
      </c>
      <c r="I25" s="11" t="s">
        <v>302</v>
      </c>
      <c r="J25" s="11" t="s">
        <v>303</v>
      </c>
      <c r="K25" s="11" t="s">
        <v>304</v>
      </c>
      <c r="L25" s="11" t="s">
        <v>305</v>
      </c>
      <c r="M25" s="14" t="s">
        <v>306</v>
      </c>
      <c r="N25" s="14" t="s">
        <v>81</v>
      </c>
      <c r="O25" s="14" t="s">
        <v>55</v>
      </c>
      <c r="P25" s="14" t="s">
        <v>56</v>
      </c>
      <c r="Q25" s="14" t="s">
        <v>57</v>
      </c>
      <c r="R25" s="14" t="s">
        <v>58</v>
      </c>
      <c r="S25" s="14" t="s">
        <v>59</v>
      </c>
      <c r="T25" s="14" t="s">
        <v>63</v>
      </c>
      <c r="U25" s="14" t="s">
        <v>64</v>
      </c>
      <c r="V25" s="14" t="s">
        <v>65</v>
      </c>
      <c r="W25" s="14" t="s">
        <v>66</v>
      </c>
      <c r="X25" s="55">
        <v>10</v>
      </c>
    </row>
    <row r="26" spans="1:24" ht="18" customHeight="1" x14ac:dyDescent="0.2">
      <c r="A26" s="11">
        <v>21</v>
      </c>
      <c r="B26" s="11" t="s">
        <v>307</v>
      </c>
      <c r="C26" s="11" t="s">
        <v>308</v>
      </c>
      <c r="D26" s="11" t="s">
        <v>309</v>
      </c>
      <c r="E26" s="11" t="s">
        <v>310</v>
      </c>
      <c r="F26" s="11" t="s">
        <v>311</v>
      </c>
      <c r="G26" s="11" t="s">
        <v>312</v>
      </c>
      <c r="H26" s="11" t="s">
        <v>313</v>
      </c>
      <c r="I26" s="11" t="s">
        <v>314</v>
      </c>
      <c r="J26" s="11" t="s">
        <v>315</v>
      </c>
      <c r="K26" s="11" t="s">
        <v>316</v>
      </c>
      <c r="L26" s="11" t="s">
        <v>317</v>
      </c>
      <c r="M26" s="14" t="s">
        <v>318</v>
      </c>
      <c r="N26" s="14" t="s">
        <v>81</v>
      </c>
      <c r="O26" s="14" t="s">
        <v>55</v>
      </c>
      <c r="P26" s="14" t="s">
        <v>56</v>
      </c>
      <c r="Q26" s="14" t="s">
        <v>57</v>
      </c>
      <c r="R26" s="14" t="s">
        <v>58</v>
      </c>
      <c r="S26" s="14" t="s">
        <v>59</v>
      </c>
      <c r="T26" s="14" t="s">
        <v>63</v>
      </c>
      <c r="U26" s="14" t="s">
        <v>64</v>
      </c>
      <c r="V26" s="14" t="s">
        <v>65</v>
      </c>
      <c r="W26" s="14" t="s">
        <v>66</v>
      </c>
      <c r="X26" s="55">
        <v>10</v>
      </c>
    </row>
    <row r="27" spans="1:24" ht="18" customHeight="1" x14ac:dyDescent="0.2">
      <c r="A27" s="11">
        <v>22</v>
      </c>
      <c r="B27" s="11" t="s">
        <v>319</v>
      </c>
      <c r="C27" s="11" t="s">
        <v>320</v>
      </c>
      <c r="D27" s="11" t="s">
        <v>321</v>
      </c>
      <c r="E27" s="11" t="s">
        <v>322</v>
      </c>
      <c r="F27" s="11" t="s">
        <v>323</v>
      </c>
      <c r="G27" s="11" t="s">
        <v>324</v>
      </c>
      <c r="H27" s="11" t="s">
        <v>325</v>
      </c>
      <c r="I27" s="11" t="s">
        <v>326</v>
      </c>
      <c r="J27" s="11" t="s">
        <v>327</v>
      </c>
      <c r="K27" s="11" t="s">
        <v>328</v>
      </c>
      <c r="L27" s="11" t="s">
        <v>329</v>
      </c>
      <c r="M27" s="14" t="s">
        <v>330</v>
      </c>
      <c r="N27" s="14" t="s">
        <v>81</v>
      </c>
      <c r="O27" s="14" t="s">
        <v>55</v>
      </c>
      <c r="P27" s="14" t="s">
        <v>56</v>
      </c>
      <c r="Q27" s="14" t="s">
        <v>57</v>
      </c>
      <c r="R27" s="14" t="s">
        <v>58</v>
      </c>
      <c r="S27" s="14" t="s">
        <v>59</v>
      </c>
      <c r="T27" s="14" t="s">
        <v>63</v>
      </c>
      <c r="U27" s="14" t="s">
        <v>64</v>
      </c>
      <c r="V27" s="14" t="s">
        <v>65</v>
      </c>
      <c r="W27" s="14" t="s">
        <v>66</v>
      </c>
      <c r="X27" s="55">
        <v>10</v>
      </c>
    </row>
    <row r="28" spans="1:24" ht="18" customHeight="1" x14ac:dyDescent="0.2">
      <c r="A28" s="11">
        <v>23</v>
      </c>
      <c r="B28" s="11" t="s">
        <v>331</v>
      </c>
      <c r="C28" s="11" t="s">
        <v>332</v>
      </c>
      <c r="D28" s="11" t="s">
        <v>333</v>
      </c>
      <c r="E28" s="11" t="s">
        <v>334</v>
      </c>
      <c r="F28" s="11" t="s">
        <v>335</v>
      </c>
      <c r="G28" s="11" t="s">
        <v>336</v>
      </c>
      <c r="H28" s="11" t="s">
        <v>337</v>
      </c>
      <c r="I28" s="11" t="s">
        <v>338</v>
      </c>
      <c r="J28" s="11" t="s">
        <v>339</v>
      </c>
      <c r="K28" s="11" t="s">
        <v>340</v>
      </c>
      <c r="L28" s="11" t="s">
        <v>341</v>
      </c>
      <c r="M28" s="14" t="s">
        <v>342</v>
      </c>
      <c r="N28" s="14" t="s">
        <v>81</v>
      </c>
      <c r="O28" s="14" t="s">
        <v>55</v>
      </c>
      <c r="P28" s="14" t="s">
        <v>56</v>
      </c>
      <c r="Q28" s="14" t="s">
        <v>57</v>
      </c>
      <c r="R28" s="14" t="s">
        <v>58</v>
      </c>
      <c r="S28" s="14" t="s">
        <v>59</v>
      </c>
      <c r="T28" s="14" t="s">
        <v>63</v>
      </c>
      <c r="U28" s="14" t="s">
        <v>64</v>
      </c>
      <c r="V28" s="14" t="s">
        <v>65</v>
      </c>
      <c r="W28" s="14" t="s">
        <v>66</v>
      </c>
      <c r="X28" s="55">
        <v>10</v>
      </c>
    </row>
    <row r="29" spans="1:24" ht="18" customHeight="1" x14ac:dyDescent="0.2">
      <c r="A29" s="11">
        <v>24</v>
      </c>
      <c r="B29" s="11" t="s">
        <v>343</v>
      </c>
      <c r="C29" s="11" t="s">
        <v>344</v>
      </c>
      <c r="D29" s="11" t="s">
        <v>345</v>
      </c>
      <c r="E29" s="11" t="s">
        <v>346</v>
      </c>
      <c r="F29" s="11" t="s">
        <v>347</v>
      </c>
      <c r="G29" s="11" t="s">
        <v>348</v>
      </c>
      <c r="H29" s="11" t="s">
        <v>349</v>
      </c>
      <c r="I29" s="11" t="s">
        <v>350</v>
      </c>
      <c r="J29" s="11" t="s">
        <v>351</v>
      </c>
      <c r="K29" s="11" t="s">
        <v>352</v>
      </c>
      <c r="L29" s="11" t="s">
        <v>353</v>
      </c>
      <c r="M29" s="14" t="s">
        <v>354</v>
      </c>
      <c r="N29" s="14" t="s">
        <v>81</v>
      </c>
      <c r="O29" s="14" t="s">
        <v>55</v>
      </c>
      <c r="P29" s="14" t="s">
        <v>56</v>
      </c>
      <c r="Q29" s="14" t="s">
        <v>57</v>
      </c>
      <c r="R29" s="14" t="s">
        <v>58</v>
      </c>
      <c r="S29" s="14" t="s">
        <v>59</v>
      </c>
      <c r="T29" s="14" t="s">
        <v>63</v>
      </c>
      <c r="U29" s="14" t="s">
        <v>64</v>
      </c>
      <c r="V29" s="14" t="s">
        <v>65</v>
      </c>
      <c r="W29" s="14" t="s">
        <v>66</v>
      </c>
      <c r="X29" s="55">
        <v>10</v>
      </c>
    </row>
    <row r="30" spans="1:24" ht="18" customHeight="1" x14ac:dyDescent="0.2">
      <c r="A30" s="11">
        <v>25</v>
      </c>
      <c r="B30" s="11" t="s">
        <v>355</v>
      </c>
      <c r="C30" s="11" t="s">
        <v>356</v>
      </c>
      <c r="D30" s="11" t="s">
        <v>357</v>
      </c>
      <c r="E30" s="11" t="s">
        <v>358</v>
      </c>
      <c r="F30" s="11" t="s">
        <v>359</v>
      </c>
      <c r="G30" s="11" t="s">
        <v>360</v>
      </c>
      <c r="H30" s="11" t="s">
        <v>361</v>
      </c>
      <c r="I30" s="11" t="s">
        <v>362</v>
      </c>
      <c r="J30" s="11" t="s">
        <v>363</v>
      </c>
      <c r="K30" s="11" t="s">
        <v>364</v>
      </c>
      <c r="L30" s="11" t="s">
        <v>365</v>
      </c>
      <c r="M30" s="14" t="s">
        <v>366</v>
      </c>
      <c r="N30" s="14" t="s">
        <v>81</v>
      </c>
      <c r="O30" s="14" t="s">
        <v>55</v>
      </c>
      <c r="P30" s="14" t="s">
        <v>56</v>
      </c>
      <c r="Q30" s="14" t="s">
        <v>57</v>
      </c>
      <c r="R30" s="14" t="s">
        <v>58</v>
      </c>
      <c r="S30" s="14" t="s">
        <v>59</v>
      </c>
      <c r="T30" s="14" t="s">
        <v>63</v>
      </c>
      <c r="U30" s="14" t="s">
        <v>64</v>
      </c>
      <c r="V30" s="14" t="s">
        <v>65</v>
      </c>
      <c r="W30" s="14" t="s">
        <v>66</v>
      </c>
      <c r="X30" s="55">
        <v>10</v>
      </c>
    </row>
    <row r="31" spans="1:24" ht="18" customHeight="1" x14ac:dyDescent="0.2">
      <c r="A31" s="11">
        <v>26</v>
      </c>
      <c r="B31" s="11" t="s">
        <v>367</v>
      </c>
      <c r="C31" s="11" t="s">
        <v>368</v>
      </c>
      <c r="D31" s="11" t="s">
        <v>369</v>
      </c>
      <c r="E31" s="11" t="s">
        <v>370</v>
      </c>
      <c r="F31" s="11" t="s">
        <v>371</v>
      </c>
      <c r="G31" s="11" t="s">
        <v>372</v>
      </c>
      <c r="H31" s="11" t="s">
        <v>373</v>
      </c>
      <c r="I31" s="11" t="s">
        <v>374</v>
      </c>
      <c r="J31" s="11" t="s">
        <v>375</v>
      </c>
      <c r="K31" s="11" t="s">
        <v>376</v>
      </c>
      <c r="L31" s="11" t="s">
        <v>377</v>
      </c>
      <c r="M31" s="14" t="s">
        <v>378</v>
      </c>
      <c r="N31" s="14" t="s">
        <v>81</v>
      </c>
      <c r="O31" s="14" t="s">
        <v>55</v>
      </c>
      <c r="P31" s="14" t="s">
        <v>56</v>
      </c>
      <c r="Q31" s="14" t="s">
        <v>57</v>
      </c>
      <c r="R31" s="14" t="s">
        <v>58</v>
      </c>
      <c r="S31" s="14" t="s">
        <v>59</v>
      </c>
      <c r="T31" s="14" t="s">
        <v>63</v>
      </c>
      <c r="U31" s="14" t="s">
        <v>64</v>
      </c>
      <c r="V31" s="14" t="s">
        <v>65</v>
      </c>
      <c r="W31" s="14" t="s">
        <v>66</v>
      </c>
      <c r="X31" s="55">
        <v>10</v>
      </c>
    </row>
    <row r="32" spans="1:24" ht="18" customHeight="1" x14ac:dyDescent="0.2">
      <c r="A32" s="11">
        <v>27</v>
      </c>
      <c r="B32" s="11" t="s">
        <v>379</v>
      </c>
      <c r="C32" s="11" t="s">
        <v>380</v>
      </c>
      <c r="D32" s="11" t="s">
        <v>381</v>
      </c>
      <c r="E32" s="11" t="s">
        <v>382</v>
      </c>
      <c r="F32" s="11" t="s">
        <v>383</v>
      </c>
      <c r="G32" s="11" t="s">
        <v>384</v>
      </c>
      <c r="H32" s="11" t="s">
        <v>385</v>
      </c>
      <c r="I32" s="11" t="s">
        <v>386</v>
      </c>
      <c r="J32" s="11" t="s">
        <v>387</v>
      </c>
      <c r="K32" s="11" t="s">
        <v>388</v>
      </c>
      <c r="L32" s="11" t="s">
        <v>389</v>
      </c>
      <c r="M32" s="14" t="s">
        <v>390</v>
      </c>
      <c r="N32" s="14" t="s">
        <v>81</v>
      </c>
      <c r="O32" s="14" t="s">
        <v>55</v>
      </c>
      <c r="P32" s="14" t="s">
        <v>56</v>
      </c>
      <c r="Q32" s="14" t="s">
        <v>57</v>
      </c>
      <c r="R32" s="14" t="s">
        <v>58</v>
      </c>
      <c r="S32" s="14" t="s">
        <v>59</v>
      </c>
      <c r="T32" s="14" t="s">
        <v>63</v>
      </c>
      <c r="U32" s="14" t="s">
        <v>64</v>
      </c>
      <c r="V32" s="14" t="s">
        <v>65</v>
      </c>
      <c r="W32" s="14" t="s">
        <v>66</v>
      </c>
      <c r="X32" s="55">
        <v>10</v>
      </c>
    </row>
    <row r="33" spans="1:24" ht="18" customHeight="1" x14ac:dyDescent="0.2">
      <c r="A33" s="11">
        <v>28</v>
      </c>
      <c r="B33" s="11" t="s">
        <v>391</v>
      </c>
      <c r="C33" s="11" t="s">
        <v>392</v>
      </c>
      <c r="D33" s="11" t="s">
        <v>393</v>
      </c>
      <c r="E33" s="11" t="s">
        <v>394</v>
      </c>
      <c r="F33" s="11" t="s">
        <v>395</v>
      </c>
      <c r="G33" s="11" t="s">
        <v>396</v>
      </c>
      <c r="H33" s="11" t="s">
        <v>397</v>
      </c>
      <c r="I33" s="11" t="s">
        <v>398</v>
      </c>
      <c r="J33" s="11" t="s">
        <v>399</v>
      </c>
      <c r="K33" s="11" t="s">
        <v>400</v>
      </c>
      <c r="L33" s="11" t="s">
        <v>401</v>
      </c>
      <c r="M33" s="14" t="s">
        <v>402</v>
      </c>
      <c r="N33" s="14" t="s">
        <v>81</v>
      </c>
      <c r="O33" s="14" t="s">
        <v>55</v>
      </c>
      <c r="P33" s="14" t="s">
        <v>56</v>
      </c>
      <c r="Q33" s="14" t="s">
        <v>57</v>
      </c>
      <c r="R33" s="14" t="s">
        <v>58</v>
      </c>
      <c r="S33" s="14" t="s">
        <v>59</v>
      </c>
      <c r="T33" s="14" t="s">
        <v>63</v>
      </c>
      <c r="U33" s="14" t="s">
        <v>64</v>
      </c>
      <c r="V33" s="14" t="s">
        <v>65</v>
      </c>
      <c r="W33" s="14" t="s">
        <v>66</v>
      </c>
      <c r="X33" s="55">
        <v>10</v>
      </c>
    </row>
    <row r="34" spans="1:24" ht="18" customHeight="1" x14ac:dyDescent="0.2">
      <c r="A34" s="11">
        <v>29</v>
      </c>
      <c r="B34" s="11" t="s">
        <v>403</v>
      </c>
      <c r="C34" s="11" t="s">
        <v>404</v>
      </c>
      <c r="D34" s="11" t="s">
        <v>405</v>
      </c>
      <c r="E34" s="11" t="s">
        <v>406</v>
      </c>
      <c r="F34" s="11" t="s">
        <v>407</v>
      </c>
      <c r="G34" s="11" t="s">
        <v>408</v>
      </c>
      <c r="H34" s="11" t="s">
        <v>409</v>
      </c>
      <c r="I34" s="11" t="s">
        <v>410</v>
      </c>
      <c r="J34" s="11" t="s">
        <v>411</v>
      </c>
      <c r="K34" s="11" t="s">
        <v>412</v>
      </c>
      <c r="L34" s="11" t="s">
        <v>413</v>
      </c>
      <c r="M34" s="14" t="s">
        <v>414</v>
      </c>
      <c r="N34" s="14" t="s">
        <v>81</v>
      </c>
      <c r="O34" s="14" t="s">
        <v>55</v>
      </c>
      <c r="P34" s="14" t="s">
        <v>56</v>
      </c>
      <c r="Q34" s="14" t="s">
        <v>57</v>
      </c>
      <c r="R34" s="14" t="s">
        <v>58</v>
      </c>
      <c r="S34" s="14" t="s">
        <v>59</v>
      </c>
      <c r="T34" s="14" t="s">
        <v>63</v>
      </c>
      <c r="U34" s="14" t="s">
        <v>64</v>
      </c>
      <c r="V34" s="14" t="s">
        <v>65</v>
      </c>
      <c r="W34" s="14" t="s">
        <v>66</v>
      </c>
      <c r="X34" s="55">
        <v>10</v>
      </c>
    </row>
    <row r="35" spans="1:24" ht="18" customHeight="1" x14ac:dyDescent="0.2">
      <c r="A35" s="11">
        <v>30</v>
      </c>
      <c r="B35" s="11" t="s">
        <v>415</v>
      </c>
      <c r="C35" s="11" t="s">
        <v>416</v>
      </c>
      <c r="D35" s="11" t="s">
        <v>417</v>
      </c>
      <c r="E35" s="11" t="s">
        <v>418</v>
      </c>
      <c r="F35" s="11" t="s">
        <v>419</v>
      </c>
      <c r="G35" s="11" t="s">
        <v>420</v>
      </c>
      <c r="H35" s="11" t="s">
        <v>421</v>
      </c>
      <c r="I35" s="11" t="s">
        <v>422</v>
      </c>
      <c r="J35" s="11" t="s">
        <v>423</v>
      </c>
      <c r="K35" s="11" t="s">
        <v>424</v>
      </c>
      <c r="L35" s="11" t="s">
        <v>425</v>
      </c>
      <c r="M35" s="14" t="s">
        <v>426</v>
      </c>
      <c r="N35" s="14" t="s">
        <v>81</v>
      </c>
      <c r="O35" s="14" t="s">
        <v>55</v>
      </c>
      <c r="P35" s="14" t="s">
        <v>56</v>
      </c>
      <c r="Q35" s="14" t="s">
        <v>57</v>
      </c>
      <c r="R35" s="14" t="s">
        <v>58</v>
      </c>
      <c r="S35" s="14" t="s">
        <v>59</v>
      </c>
      <c r="T35" s="14" t="s">
        <v>63</v>
      </c>
      <c r="U35" s="14" t="s">
        <v>64</v>
      </c>
      <c r="V35" s="14" t="s">
        <v>65</v>
      </c>
      <c r="W35" s="14" t="s">
        <v>66</v>
      </c>
      <c r="X35" s="55">
        <v>10</v>
      </c>
    </row>
    <row r="36" spans="1:24" ht="18" customHeight="1" x14ac:dyDescent="0.2">
      <c r="A36" s="11">
        <v>31</v>
      </c>
      <c r="B36" s="11" t="s">
        <v>427</v>
      </c>
      <c r="C36" s="11" t="s">
        <v>428</v>
      </c>
      <c r="D36" s="11" t="s">
        <v>429</v>
      </c>
      <c r="E36" s="11" t="s">
        <v>430</v>
      </c>
      <c r="F36" s="11" t="s">
        <v>431</v>
      </c>
      <c r="G36" s="11" t="s">
        <v>432</v>
      </c>
      <c r="H36" s="11" t="s">
        <v>433</v>
      </c>
      <c r="I36" s="11" t="s">
        <v>434</v>
      </c>
      <c r="J36" s="11" t="s">
        <v>435</v>
      </c>
      <c r="K36" s="11" t="s">
        <v>436</v>
      </c>
      <c r="L36" s="11" t="s">
        <v>437</v>
      </c>
      <c r="M36" s="14" t="s">
        <v>438</v>
      </c>
      <c r="N36" s="14" t="s">
        <v>81</v>
      </c>
      <c r="O36" s="14" t="s">
        <v>55</v>
      </c>
      <c r="P36" s="14" t="s">
        <v>56</v>
      </c>
      <c r="Q36" s="14" t="s">
        <v>57</v>
      </c>
      <c r="R36" s="14" t="s">
        <v>58</v>
      </c>
      <c r="S36" s="14" t="s">
        <v>59</v>
      </c>
      <c r="T36" s="14" t="s">
        <v>63</v>
      </c>
      <c r="U36" s="14" t="s">
        <v>64</v>
      </c>
      <c r="V36" s="14" t="s">
        <v>65</v>
      </c>
      <c r="W36" s="14" t="s">
        <v>66</v>
      </c>
      <c r="X36" s="55">
        <v>10</v>
      </c>
    </row>
    <row r="37" spans="1:24" ht="18" customHeight="1" x14ac:dyDescent="0.2">
      <c r="A37" s="11">
        <v>32</v>
      </c>
      <c r="B37" s="11" t="s">
        <v>439</v>
      </c>
      <c r="C37" s="11" t="s">
        <v>440</v>
      </c>
      <c r="D37" s="11" t="s">
        <v>441</v>
      </c>
      <c r="E37" s="11" t="s">
        <v>442</v>
      </c>
      <c r="F37" s="11" t="s">
        <v>443</v>
      </c>
      <c r="G37" s="11" t="s">
        <v>444</v>
      </c>
      <c r="H37" s="11" t="s">
        <v>445</v>
      </c>
      <c r="I37" s="11" t="s">
        <v>446</v>
      </c>
      <c r="J37" s="11" t="s">
        <v>447</v>
      </c>
      <c r="K37" s="11" t="s">
        <v>448</v>
      </c>
      <c r="L37" s="11" t="s">
        <v>449</v>
      </c>
      <c r="M37" s="14" t="s">
        <v>450</v>
      </c>
      <c r="N37" s="14" t="s">
        <v>81</v>
      </c>
      <c r="O37" s="14" t="s">
        <v>55</v>
      </c>
      <c r="P37" s="14" t="s">
        <v>56</v>
      </c>
      <c r="Q37" s="14" t="s">
        <v>57</v>
      </c>
      <c r="R37" s="14" t="s">
        <v>58</v>
      </c>
      <c r="S37" s="14" t="s">
        <v>59</v>
      </c>
      <c r="T37" s="14" t="s">
        <v>63</v>
      </c>
      <c r="U37" s="14" t="s">
        <v>64</v>
      </c>
      <c r="V37" s="14" t="s">
        <v>65</v>
      </c>
      <c r="W37" s="14" t="s">
        <v>66</v>
      </c>
      <c r="X37" s="55">
        <v>10</v>
      </c>
    </row>
    <row r="38" spans="1:24" ht="18" customHeight="1" x14ac:dyDescent="0.2">
      <c r="A38" s="11">
        <v>33</v>
      </c>
      <c r="B38" s="11" t="s">
        <v>451</v>
      </c>
      <c r="C38" s="11" t="s">
        <v>452</v>
      </c>
      <c r="D38" s="11" t="s">
        <v>453</v>
      </c>
      <c r="E38" s="11" t="s">
        <v>454</v>
      </c>
      <c r="F38" s="11" t="s">
        <v>455</v>
      </c>
      <c r="G38" s="11" t="s">
        <v>456</v>
      </c>
      <c r="H38" s="11" t="s">
        <v>457</v>
      </c>
      <c r="I38" s="11" t="s">
        <v>458</v>
      </c>
      <c r="J38" s="11" t="s">
        <v>459</v>
      </c>
      <c r="K38" s="11" t="s">
        <v>460</v>
      </c>
      <c r="L38" s="11" t="s">
        <v>461</v>
      </c>
      <c r="M38" s="14" t="s">
        <v>462</v>
      </c>
      <c r="N38" s="14" t="s">
        <v>81</v>
      </c>
      <c r="O38" s="14" t="s">
        <v>55</v>
      </c>
      <c r="P38" s="14" t="s">
        <v>56</v>
      </c>
      <c r="Q38" s="14" t="s">
        <v>57</v>
      </c>
      <c r="R38" s="14" t="s">
        <v>58</v>
      </c>
      <c r="S38" s="14" t="s">
        <v>59</v>
      </c>
      <c r="T38" s="14" t="s">
        <v>63</v>
      </c>
      <c r="U38" s="14" t="s">
        <v>64</v>
      </c>
      <c r="V38" s="14" t="s">
        <v>65</v>
      </c>
      <c r="W38" s="14" t="s">
        <v>66</v>
      </c>
      <c r="X38" s="55">
        <v>10</v>
      </c>
    </row>
    <row r="39" spans="1:24" ht="18" customHeight="1" x14ac:dyDescent="0.2">
      <c r="A39" s="11">
        <v>34</v>
      </c>
      <c r="B39" s="11" t="s">
        <v>463</v>
      </c>
      <c r="C39" s="11" t="s">
        <v>464</v>
      </c>
      <c r="D39" s="11" t="s">
        <v>465</v>
      </c>
      <c r="E39" s="11" t="s">
        <v>466</v>
      </c>
      <c r="F39" s="11" t="s">
        <v>467</v>
      </c>
      <c r="G39" s="11" t="s">
        <v>468</v>
      </c>
      <c r="H39" s="11" t="s">
        <v>469</v>
      </c>
      <c r="I39" s="11" t="s">
        <v>470</v>
      </c>
      <c r="J39" s="11" t="s">
        <v>471</v>
      </c>
      <c r="K39" s="11" t="s">
        <v>472</v>
      </c>
      <c r="L39" s="11" t="s">
        <v>473</v>
      </c>
      <c r="M39" s="14" t="s">
        <v>474</v>
      </c>
      <c r="N39" s="14" t="s">
        <v>81</v>
      </c>
      <c r="O39" s="14" t="s">
        <v>55</v>
      </c>
      <c r="P39" s="14" t="s">
        <v>56</v>
      </c>
      <c r="Q39" s="14" t="s">
        <v>57</v>
      </c>
      <c r="R39" s="14" t="s">
        <v>58</v>
      </c>
      <c r="S39" s="14" t="s">
        <v>59</v>
      </c>
      <c r="T39" s="14" t="s">
        <v>63</v>
      </c>
      <c r="U39" s="14" t="s">
        <v>64</v>
      </c>
      <c r="V39" s="14" t="s">
        <v>65</v>
      </c>
      <c r="W39" s="14" t="s">
        <v>66</v>
      </c>
      <c r="X39" s="55">
        <v>10</v>
      </c>
    </row>
    <row r="40" spans="1:24" ht="18" customHeight="1" x14ac:dyDescent="0.2">
      <c r="A40" s="11">
        <v>35</v>
      </c>
      <c r="B40" s="11" t="s">
        <v>475</v>
      </c>
      <c r="C40" s="11" t="s">
        <v>476</v>
      </c>
      <c r="D40" s="11" t="s">
        <v>477</v>
      </c>
      <c r="E40" s="11" t="s">
        <v>478</v>
      </c>
      <c r="F40" s="11" t="s">
        <v>479</v>
      </c>
      <c r="G40" s="11" t="s">
        <v>480</v>
      </c>
      <c r="H40" s="11" t="s">
        <v>481</v>
      </c>
      <c r="I40" s="11" t="s">
        <v>482</v>
      </c>
      <c r="J40" s="11" t="s">
        <v>483</v>
      </c>
      <c r="K40" s="11" t="s">
        <v>484</v>
      </c>
      <c r="L40" s="11" t="s">
        <v>485</v>
      </c>
      <c r="M40" s="14" t="s">
        <v>486</v>
      </c>
      <c r="N40" s="14" t="s">
        <v>81</v>
      </c>
      <c r="O40" s="14" t="s">
        <v>55</v>
      </c>
      <c r="P40" s="14" t="s">
        <v>56</v>
      </c>
      <c r="Q40" s="14" t="s">
        <v>57</v>
      </c>
      <c r="R40" s="14" t="s">
        <v>58</v>
      </c>
      <c r="S40" s="14" t="s">
        <v>59</v>
      </c>
      <c r="T40" s="14" t="s">
        <v>63</v>
      </c>
      <c r="U40" s="14" t="s">
        <v>64</v>
      </c>
      <c r="V40" s="14" t="s">
        <v>65</v>
      </c>
      <c r="W40" s="14" t="s">
        <v>66</v>
      </c>
      <c r="X40" s="55">
        <v>10</v>
      </c>
    </row>
    <row r="41" spans="1:24" ht="18" customHeight="1" x14ac:dyDescent="0.2">
      <c r="A41" s="11">
        <v>36</v>
      </c>
      <c r="B41" s="11" t="s">
        <v>487</v>
      </c>
      <c r="C41" s="11" t="s">
        <v>488</v>
      </c>
      <c r="D41" s="11" t="s">
        <v>489</v>
      </c>
      <c r="E41" s="11" t="s">
        <v>490</v>
      </c>
      <c r="F41" s="11" t="s">
        <v>491</v>
      </c>
      <c r="G41" s="11" t="s">
        <v>492</v>
      </c>
      <c r="H41" s="11" t="s">
        <v>493</v>
      </c>
      <c r="I41" s="11" t="s">
        <v>494</v>
      </c>
      <c r="J41" s="11" t="s">
        <v>495</v>
      </c>
      <c r="K41" s="11" t="s">
        <v>496</v>
      </c>
      <c r="L41" s="11" t="s">
        <v>497</v>
      </c>
      <c r="M41" s="14" t="s">
        <v>498</v>
      </c>
      <c r="N41" s="14" t="s">
        <v>81</v>
      </c>
      <c r="O41" s="14" t="s">
        <v>55</v>
      </c>
      <c r="P41" s="14" t="s">
        <v>56</v>
      </c>
      <c r="Q41" s="14" t="s">
        <v>57</v>
      </c>
      <c r="R41" s="14" t="s">
        <v>58</v>
      </c>
      <c r="S41" s="14" t="s">
        <v>59</v>
      </c>
      <c r="T41" s="14" t="s">
        <v>63</v>
      </c>
      <c r="U41" s="14" t="s">
        <v>64</v>
      </c>
      <c r="V41" s="14" t="s">
        <v>65</v>
      </c>
      <c r="W41" s="14" t="s">
        <v>66</v>
      </c>
      <c r="X41" s="55">
        <v>10</v>
      </c>
    </row>
    <row r="42" spans="1:24" ht="18" customHeight="1" x14ac:dyDescent="0.2">
      <c r="A42" s="11">
        <v>37</v>
      </c>
      <c r="B42" s="11" t="s">
        <v>499</v>
      </c>
      <c r="C42" s="11" t="s">
        <v>500</v>
      </c>
      <c r="D42" s="11" t="s">
        <v>501</v>
      </c>
      <c r="E42" s="11" t="s">
        <v>502</v>
      </c>
      <c r="F42" s="11" t="s">
        <v>503</v>
      </c>
      <c r="G42" s="11" t="s">
        <v>504</v>
      </c>
      <c r="H42" s="11" t="s">
        <v>505</v>
      </c>
      <c r="I42" s="11" t="s">
        <v>506</v>
      </c>
      <c r="J42" s="11" t="s">
        <v>507</v>
      </c>
      <c r="K42" s="11" t="s">
        <v>508</v>
      </c>
      <c r="L42" s="11" t="s">
        <v>509</v>
      </c>
      <c r="M42" s="14" t="s">
        <v>510</v>
      </c>
      <c r="N42" s="14" t="s">
        <v>81</v>
      </c>
      <c r="O42" s="14" t="s">
        <v>55</v>
      </c>
      <c r="P42" s="14" t="s">
        <v>56</v>
      </c>
      <c r="Q42" s="14" t="s">
        <v>57</v>
      </c>
      <c r="R42" s="14" t="s">
        <v>58</v>
      </c>
      <c r="S42" s="14" t="s">
        <v>59</v>
      </c>
      <c r="T42" s="14" t="s">
        <v>63</v>
      </c>
      <c r="U42" s="14" t="s">
        <v>64</v>
      </c>
      <c r="V42" s="14" t="s">
        <v>65</v>
      </c>
      <c r="W42" s="14" t="s">
        <v>66</v>
      </c>
      <c r="X42" s="55">
        <v>10</v>
      </c>
    </row>
    <row r="43" spans="1:24" ht="18" customHeight="1" x14ac:dyDescent="0.2">
      <c r="A43" s="11">
        <v>38</v>
      </c>
      <c r="B43" s="11" t="s">
        <v>511</v>
      </c>
      <c r="C43" s="11" t="s">
        <v>512</v>
      </c>
      <c r="D43" s="11" t="s">
        <v>513</v>
      </c>
      <c r="E43" s="11" t="s">
        <v>514</v>
      </c>
      <c r="F43" s="11" t="s">
        <v>515</v>
      </c>
      <c r="G43" s="11" t="s">
        <v>516</v>
      </c>
      <c r="H43" s="11" t="s">
        <v>517</v>
      </c>
      <c r="I43" s="11" t="s">
        <v>518</v>
      </c>
      <c r="J43" s="11" t="s">
        <v>519</v>
      </c>
      <c r="K43" s="11" t="s">
        <v>520</v>
      </c>
      <c r="L43" s="11" t="s">
        <v>521</v>
      </c>
      <c r="M43" s="14" t="s">
        <v>522</v>
      </c>
      <c r="N43" s="14" t="s">
        <v>81</v>
      </c>
      <c r="O43" s="14" t="s">
        <v>55</v>
      </c>
      <c r="P43" s="14" t="s">
        <v>56</v>
      </c>
      <c r="Q43" s="14" t="s">
        <v>57</v>
      </c>
      <c r="R43" s="14" t="s">
        <v>58</v>
      </c>
      <c r="S43" s="14" t="s">
        <v>59</v>
      </c>
      <c r="T43" s="14" t="s">
        <v>63</v>
      </c>
      <c r="U43" s="14" t="s">
        <v>64</v>
      </c>
      <c r="V43" s="14" t="s">
        <v>65</v>
      </c>
      <c r="W43" s="14" t="s">
        <v>66</v>
      </c>
      <c r="X43" s="55">
        <v>10</v>
      </c>
    </row>
  </sheetData>
  <mergeCells count="11">
    <mergeCell ref="G4:N4"/>
    <mergeCell ref="O4:Q4"/>
    <mergeCell ref="R4:T4"/>
    <mergeCell ref="U4:W4"/>
    <mergeCell ref="X4:X5"/>
    <mergeCell ref="A1:B1"/>
    <mergeCell ref="C1:F1"/>
    <mergeCell ref="A2:B2"/>
    <mergeCell ref="C2:F2"/>
    <mergeCell ref="A4:A5"/>
    <mergeCell ref="B4:F4"/>
  </mergeCells>
  <pageMargins left="0.25" right="0.25" top="0.75" bottom="0.75" header="0.3" footer="0.3"/>
  <pageSetup paperSize="9"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EA43B-E2A5-F547-B206-8AC8599CBF5B}">
  <dimension ref="A1:L28"/>
  <sheetViews>
    <sheetView workbookViewId="0">
      <selection activeCell="P21" sqref="P21"/>
    </sheetView>
  </sheetViews>
  <sheetFormatPr baseColWidth="10" defaultRowHeight="18" customHeight="1" x14ac:dyDescent="0.2"/>
  <cols>
    <col min="1" max="12" width="10.83203125" style="1"/>
    <col min="13" max="16384" width="10.83203125" style="3"/>
  </cols>
  <sheetData>
    <row r="1" spans="1:12" ht="18" customHeight="1" x14ac:dyDescent="0.2">
      <c r="A1" s="12" t="s">
        <v>33</v>
      </c>
      <c r="B1" s="45" t="s">
        <v>34</v>
      </c>
      <c r="C1" s="45"/>
      <c r="D1" s="45" t="s">
        <v>35</v>
      </c>
      <c r="E1" s="45"/>
      <c r="F1" s="45" t="s">
        <v>36</v>
      </c>
      <c r="G1" s="45"/>
      <c r="H1" s="45"/>
      <c r="I1" s="45"/>
      <c r="J1" s="45"/>
      <c r="K1" s="45"/>
      <c r="L1" s="45"/>
    </row>
    <row r="2" spans="1:12" ht="18" customHeight="1" x14ac:dyDescent="0.2">
      <c r="A2" s="13">
        <v>1</v>
      </c>
      <c r="B2" s="46">
        <v>46120</v>
      </c>
      <c r="C2" s="46"/>
      <c r="D2" s="47" t="s">
        <v>22</v>
      </c>
      <c r="E2" s="47"/>
      <c r="F2" s="47" t="s">
        <v>37</v>
      </c>
      <c r="G2" s="47"/>
      <c r="H2" s="47"/>
      <c r="I2" s="47"/>
      <c r="J2" s="47"/>
      <c r="K2" s="47"/>
      <c r="L2" s="47"/>
    </row>
    <row r="3" spans="1:12" ht="18" customHeight="1" x14ac:dyDescent="0.2">
      <c r="A3" s="13"/>
      <c r="B3" s="46"/>
      <c r="C3" s="46"/>
      <c r="D3" s="47"/>
      <c r="E3" s="47"/>
      <c r="F3" s="47"/>
      <c r="G3" s="47"/>
      <c r="H3" s="47"/>
      <c r="I3" s="47"/>
      <c r="J3" s="47"/>
      <c r="K3" s="47"/>
      <c r="L3" s="47"/>
    </row>
    <row r="4" spans="1:12" ht="18" customHeight="1" x14ac:dyDescent="0.2">
      <c r="A4" s="13"/>
      <c r="B4" s="46"/>
      <c r="C4" s="46"/>
      <c r="D4" s="47"/>
      <c r="E4" s="47"/>
      <c r="F4" s="47"/>
      <c r="G4" s="47"/>
      <c r="H4" s="47"/>
      <c r="I4" s="47"/>
      <c r="J4" s="47"/>
      <c r="K4" s="47"/>
      <c r="L4" s="47"/>
    </row>
    <row r="5" spans="1:12" ht="18" customHeight="1" x14ac:dyDescent="0.2">
      <c r="A5" s="13"/>
      <c r="B5" s="46"/>
      <c r="C5" s="46"/>
      <c r="D5" s="47"/>
      <c r="E5" s="47"/>
      <c r="F5" s="47"/>
      <c r="G5" s="47"/>
      <c r="H5" s="47"/>
      <c r="I5" s="47"/>
      <c r="J5" s="47"/>
      <c r="K5" s="47"/>
      <c r="L5" s="47"/>
    </row>
    <row r="6" spans="1:12" ht="18" customHeight="1" x14ac:dyDescent="0.2">
      <c r="A6" s="13"/>
      <c r="B6" s="46"/>
      <c r="C6" s="46"/>
      <c r="D6" s="47"/>
      <c r="E6" s="47"/>
      <c r="F6" s="47"/>
      <c r="G6" s="47"/>
      <c r="H6" s="47"/>
      <c r="I6" s="47"/>
      <c r="J6" s="47"/>
      <c r="K6" s="47"/>
      <c r="L6" s="47"/>
    </row>
    <row r="7" spans="1:12" ht="18" customHeight="1" x14ac:dyDescent="0.2">
      <c r="A7" s="13"/>
      <c r="B7" s="46"/>
      <c r="C7" s="46"/>
      <c r="D7" s="47"/>
      <c r="E7" s="47"/>
      <c r="F7" s="47"/>
      <c r="G7" s="47"/>
      <c r="H7" s="47"/>
      <c r="I7" s="47"/>
      <c r="J7" s="47"/>
      <c r="K7" s="47"/>
      <c r="L7" s="47"/>
    </row>
    <row r="8" spans="1:12" ht="18" customHeight="1" x14ac:dyDescent="0.2">
      <c r="A8" s="13"/>
      <c r="B8" s="46"/>
      <c r="C8" s="46"/>
      <c r="D8" s="47"/>
      <c r="E8" s="47"/>
      <c r="F8" s="47"/>
      <c r="G8" s="47"/>
      <c r="H8" s="47"/>
      <c r="I8" s="47"/>
      <c r="J8" s="47"/>
      <c r="K8" s="47"/>
      <c r="L8" s="47"/>
    </row>
    <row r="9" spans="1:12" ht="18" customHeight="1" x14ac:dyDescent="0.2">
      <c r="A9" s="13"/>
      <c r="B9" s="46"/>
      <c r="C9" s="46"/>
      <c r="D9" s="47"/>
      <c r="E9" s="47"/>
      <c r="F9" s="47"/>
      <c r="G9" s="47"/>
      <c r="H9" s="47"/>
      <c r="I9" s="47"/>
      <c r="J9" s="47"/>
      <c r="K9" s="47"/>
      <c r="L9" s="47"/>
    </row>
    <row r="10" spans="1:12" ht="18" customHeight="1" x14ac:dyDescent="0.2">
      <c r="A10" s="13"/>
      <c r="B10" s="46"/>
      <c r="C10" s="46"/>
      <c r="D10" s="47"/>
      <c r="E10" s="47"/>
      <c r="F10" s="47"/>
      <c r="G10" s="47"/>
      <c r="H10" s="47"/>
      <c r="I10" s="47"/>
      <c r="J10" s="47"/>
      <c r="K10" s="47"/>
      <c r="L10" s="47"/>
    </row>
    <row r="11" spans="1:12" ht="18" customHeight="1" x14ac:dyDescent="0.2">
      <c r="A11" s="13"/>
      <c r="B11" s="46"/>
      <c r="C11" s="46"/>
      <c r="D11" s="47"/>
      <c r="E11" s="47"/>
      <c r="F11" s="47"/>
      <c r="G11" s="47"/>
      <c r="H11" s="47"/>
      <c r="I11" s="47"/>
      <c r="J11" s="47"/>
      <c r="K11" s="47"/>
      <c r="L11" s="47"/>
    </row>
    <row r="12" spans="1:12" ht="18" customHeight="1" x14ac:dyDescent="0.2">
      <c r="A12" s="13"/>
      <c r="B12" s="46"/>
      <c r="C12" s="46"/>
      <c r="D12" s="47"/>
      <c r="E12" s="47"/>
      <c r="F12" s="47"/>
      <c r="G12" s="47"/>
      <c r="H12" s="47"/>
      <c r="I12" s="47"/>
      <c r="J12" s="47"/>
      <c r="K12" s="47"/>
      <c r="L12" s="47"/>
    </row>
    <row r="13" spans="1:12" ht="18" customHeight="1" x14ac:dyDescent="0.2">
      <c r="A13" s="13"/>
      <c r="B13" s="46"/>
      <c r="C13" s="46"/>
      <c r="D13" s="47"/>
      <c r="E13" s="47"/>
      <c r="F13" s="47"/>
      <c r="G13" s="47"/>
      <c r="H13" s="47"/>
      <c r="I13" s="47"/>
      <c r="J13" s="47"/>
      <c r="K13" s="47"/>
      <c r="L13" s="47"/>
    </row>
    <row r="14" spans="1:12" ht="18" customHeight="1" x14ac:dyDescent="0.2">
      <c r="A14" s="13"/>
      <c r="B14" s="46"/>
      <c r="C14" s="46"/>
      <c r="D14" s="47"/>
      <c r="E14" s="47"/>
      <c r="F14" s="47"/>
      <c r="G14" s="47"/>
      <c r="H14" s="47"/>
      <c r="I14" s="47"/>
      <c r="J14" s="47"/>
      <c r="K14" s="47"/>
      <c r="L14" s="47"/>
    </row>
    <row r="15" spans="1:12" ht="18" customHeight="1" x14ac:dyDescent="0.2">
      <c r="A15" s="13"/>
      <c r="B15" s="46"/>
      <c r="C15" s="46"/>
      <c r="D15" s="47"/>
      <c r="E15" s="47"/>
      <c r="F15" s="47"/>
      <c r="G15" s="47"/>
      <c r="H15" s="47"/>
      <c r="I15" s="47"/>
      <c r="J15" s="47"/>
      <c r="K15" s="47"/>
      <c r="L15" s="47"/>
    </row>
    <row r="16" spans="1:12" ht="18" customHeight="1" x14ac:dyDescent="0.2">
      <c r="A16" s="13"/>
      <c r="B16" s="46"/>
      <c r="C16" s="46"/>
      <c r="D16" s="47"/>
      <c r="E16" s="47"/>
      <c r="F16" s="47"/>
      <c r="G16" s="47"/>
      <c r="H16" s="47"/>
      <c r="I16" s="47"/>
      <c r="J16" s="47"/>
      <c r="K16" s="47"/>
      <c r="L16" s="47"/>
    </row>
    <row r="17" spans="1:12" ht="18" customHeight="1" x14ac:dyDescent="0.2">
      <c r="A17" s="13"/>
      <c r="B17" s="46"/>
      <c r="C17" s="46"/>
      <c r="D17" s="47"/>
      <c r="E17" s="47"/>
      <c r="F17" s="47"/>
      <c r="G17" s="47"/>
      <c r="H17" s="47"/>
      <c r="I17" s="47"/>
      <c r="J17" s="47"/>
      <c r="K17" s="47"/>
      <c r="L17" s="47"/>
    </row>
    <row r="18" spans="1:12" ht="18" customHeight="1" x14ac:dyDescent="0.2">
      <c r="A18" s="13"/>
      <c r="B18" s="46"/>
      <c r="C18" s="46"/>
      <c r="D18" s="47"/>
      <c r="E18" s="47"/>
      <c r="F18" s="47"/>
      <c r="G18" s="47"/>
      <c r="H18" s="47"/>
      <c r="I18" s="47"/>
      <c r="J18" s="47"/>
      <c r="K18" s="47"/>
      <c r="L18" s="47"/>
    </row>
    <row r="19" spans="1:12" ht="18" customHeight="1" x14ac:dyDescent="0.2">
      <c r="A19" s="13"/>
      <c r="B19" s="46"/>
      <c r="C19" s="46"/>
      <c r="D19" s="47"/>
      <c r="E19" s="47"/>
      <c r="F19" s="47"/>
      <c r="G19" s="47"/>
      <c r="H19" s="47"/>
      <c r="I19" s="47"/>
      <c r="J19" s="47"/>
      <c r="K19" s="47"/>
      <c r="L19" s="47"/>
    </row>
    <row r="20" spans="1:12" ht="18" customHeight="1" x14ac:dyDescent="0.2">
      <c r="A20" s="13"/>
      <c r="B20" s="46"/>
      <c r="C20" s="46"/>
      <c r="D20" s="47"/>
      <c r="E20" s="47"/>
      <c r="F20" s="47"/>
      <c r="G20" s="47"/>
      <c r="H20" s="47"/>
      <c r="I20" s="47"/>
      <c r="J20" s="47"/>
      <c r="K20" s="47"/>
      <c r="L20" s="47"/>
    </row>
    <row r="21" spans="1:12" ht="18" customHeight="1" x14ac:dyDescent="0.2">
      <c r="A21" s="13"/>
      <c r="B21" s="46"/>
      <c r="C21" s="46"/>
      <c r="D21" s="47"/>
      <c r="E21" s="47"/>
      <c r="F21" s="47"/>
      <c r="G21" s="47"/>
      <c r="H21" s="47"/>
      <c r="I21" s="47"/>
      <c r="J21" s="47"/>
      <c r="K21" s="47"/>
      <c r="L21" s="47"/>
    </row>
    <row r="22" spans="1:12" ht="18" customHeight="1" x14ac:dyDescent="0.2">
      <c r="A22" s="13"/>
      <c r="B22" s="46"/>
      <c r="C22" s="46"/>
      <c r="D22" s="47"/>
      <c r="E22" s="47"/>
      <c r="F22" s="47"/>
      <c r="G22" s="47"/>
      <c r="H22" s="47"/>
      <c r="I22" s="47"/>
      <c r="J22" s="47"/>
      <c r="K22" s="47"/>
      <c r="L22" s="47"/>
    </row>
    <row r="23" spans="1:12" ht="18" customHeight="1" x14ac:dyDescent="0.2">
      <c r="A23" s="13"/>
      <c r="B23" s="46"/>
      <c r="C23" s="46"/>
      <c r="D23" s="47"/>
      <c r="E23" s="47"/>
      <c r="F23" s="47"/>
      <c r="G23" s="47"/>
      <c r="H23" s="47"/>
      <c r="I23" s="47"/>
      <c r="J23" s="47"/>
      <c r="K23" s="47"/>
      <c r="L23" s="47"/>
    </row>
    <row r="24" spans="1:12" ht="18" customHeight="1" x14ac:dyDescent="0.2">
      <c r="A24" s="13"/>
      <c r="B24" s="46"/>
      <c r="C24" s="46"/>
      <c r="D24" s="47"/>
      <c r="E24" s="47"/>
      <c r="F24" s="47"/>
      <c r="G24" s="47"/>
      <c r="H24" s="47"/>
      <c r="I24" s="47"/>
      <c r="J24" s="47"/>
      <c r="K24" s="47"/>
      <c r="L24" s="47"/>
    </row>
    <row r="25" spans="1:12" ht="18" customHeight="1" x14ac:dyDescent="0.2">
      <c r="A25" s="13"/>
      <c r="B25" s="46"/>
      <c r="C25" s="46"/>
      <c r="D25" s="47"/>
      <c r="E25" s="47"/>
      <c r="F25" s="47"/>
      <c r="G25" s="47"/>
      <c r="H25" s="47"/>
      <c r="I25" s="47"/>
      <c r="J25" s="47"/>
      <c r="K25" s="47"/>
      <c r="L25" s="47"/>
    </row>
    <row r="26" spans="1:12" ht="18" customHeight="1" x14ac:dyDescent="0.2">
      <c r="A26" s="13"/>
      <c r="B26" s="46"/>
      <c r="C26" s="46"/>
      <c r="D26" s="47"/>
      <c r="E26" s="47"/>
      <c r="F26" s="47"/>
      <c r="G26" s="47"/>
      <c r="H26" s="47"/>
      <c r="I26" s="47"/>
      <c r="J26" s="47"/>
      <c r="K26" s="47"/>
      <c r="L26" s="47"/>
    </row>
    <row r="27" spans="1:12" ht="18" customHeight="1" x14ac:dyDescent="0.2">
      <c r="A27" s="13"/>
      <c r="B27" s="46"/>
      <c r="C27" s="46"/>
      <c r="D27" s="47"/>
      <c r="E27" s="47"/>
      <c r="F27" s="47"/>
      <c r="G27" s="47"/>
      <c r="H27" s="47"/>
      <c r="I27" s="47"/>
      <c r="J27" s="47"/>
      <c r="K27" s="47"/>
      <c r="L27" s="47"/>
    </row>
    <row r="28" spans="1:12" ht="18" customHeight="1" x14ac:dyDescent="0.2">
      <c r="A28" s="13"/>
      <c r="B28" s="46"/>
      <c r="C28" s="46"/>
      <c r="D28" s="47"/>
      <c r="E28" s="47"/>
      <c r="F28" s="47"/>
      <c r="G28" s="47"/>
      <c r="H28" s="47"/>
      <c r="I28" s="47"/>
      <c r="J28" s="47"/>
      <c r="K28" s="47"/>
      <c r="L28" s="47"/>
    </row>
  </sheetData>
  <mergeCells count="84">
    <mergeCell ref="B27:C27"/>
    <mergeCell ref="D27:E27"/>
    <mergeCell ref="F27:L27"/>
    <mergeCell ref="B28:C28"/>
    <mergeCell ref="D28:E28"/>
    <mergeCell ref="F28:L28"/>
    <mergeCell ref="B25:C25"/>
    <mergeCell ref="D25:E25"/>
    <mergeCell ref="F25:L25"/>
    <mergeCell ref="B26:C26"/>
    <mergeCell ref="D26:E26"/>
    <mergeCell ref="F26:L26"/>
    <mergeCell ref="B23:C23"/>
    <mergeCell ref="D23:E23"/>
    <mergeCell ref="F23:L23"/>
    <mergeCell ref="B24:C24"/>
    <mergeCell ref="D24:E24"/>
    <mergeCell ref="F24:L24"/>
    <mergeCell ref="B21:C21"/>
    <mergeCell ref="D21:E21"/>
    <mergeCell ref="F21:L21"/>
    <mergeCell ref="B22:C22"/>
    <mergeCell ref="D22:E22"/>
    <mergeCell ref="F22:L22"/>
    <mergeCell ref="B19:C19"/>
    <mergeCell ref="D19:E19"/>
    <mergeCell ref="F19:L19"/>
    <mergeCell ref="B20:C20"/>
    <mergeCell ref="D20:E20"/>
    <mergeCell ref="F20:L20"/>
    <mergeCell ref="B17:C17"/>
    <mergeCell ref="D17:E17"/>
    <mergeCell ref="F17:L17"/>
    <mergeCell ref="B18:C18"/>
    <mergeCell ref="D18:E18"/>
    <mergeCell ref="F18:L18"/>
    <mergeCell ref="B15:C15"/>
    <mergeCell ref="D15:E15"/>
    <mergeCell ref="F15:L15"/>
    <mergeCell ref="B16:C16"/>
    <mergeCell ref="D16:E16"/>
    <mergeCell ref="F16:L16"/>
    <mergeCell ref="B13:C13"/>
    <mergeCell ref="D13:E13"/>
    <mergeCell ref="F13:L13"/>
    <mergeCell ref="B14:C14"/>
    <mergeCell ref="D14:E14"/>
    <mergeCell ref="F14:L14"/>
    <mergeCell ref="B11:C11"/>
    <mergeCell ref="D11:E11"/>
    <mergeCell ref="F11:L11"/>
    <mergeCell ref="B12:C12"/>
    <mergeCell ref="D12:E12"/>
    <mergeCell ref="F12:L12"/>
    <mergeCell ref="B9:C9"/>
    <mergeCell ref="D9:E9"/>
    <mergeCell ref="F9:L9"/>
    <mergeCell ref="B10:C10"/>
    <mergeCell ref="D10:E10"/>
    <mergeCell ref="F10:L10"/>
    <mergeCell ref="B7:C7"/>
    <mergeCell ref="D7:E7"/>
    <mergeCell ref="F7:L7"/>
    <mergeCell ref="B8:C8"/>
    <mergeCell ref="D8:E8"/>
    <mergeCell ref="F8:L8"/>
    <mergeCell ref="B5:C5"/>
    <mergeCell ref="D5:E5"/>
    <mergeCell ref="F5:L5"/>
    <mergeCell ref="B6:C6"/>
    <mergeCell ref="D6:E6"/>
    <mergeCell ref="F6:L6"/>
    <mergeCell ref="B3:C3"/>
    <mergeCell ref="D3:E3"/>
    <mergeCell ref="F3:L3"/>
    <mergeCell ref="B4:C4"/>
    <mergeCell ref="D4:E4"/>
    <mergeCell ref="F4:L4"/>
    <mergeCell ref="B1:C1"/>
    <mergeCell ref="D1:E1"/>
    <mergeCell ref="F1:L1"/>
    <mergeCell ref="B2:C2"/>
    <mergeCell ref="D2:E2"/>
    <mergeCell ref="F2:L2"/>
  </mergeCells>
  <pageMargins left="0.25" right="0.25" top="0.75" bottom="0.75" header="0.3" footer="0.3"/>
  <pageSetup paperSize="9"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4AC5-1E9B-964F-83FE-860D8403B8DB}">
  <dimension ref="A2:O19"/>
  <sheetViews>
    <sheetView zoomScale="130" zoomScaleNormal="130" workbookViewId="0">
      <selection activeCell="B19" sqref="B19"/>
    </sheetView>
  </sheetViews>
  <sheetFormatPr baseColWidth="10" defaultRowHeight="18" customHeight="1" x14ac:dyDescent="0.2"/>
  <cols>
    <col min="1" max="12" width="10.83203125" style="2"/>
    <col min="13" max="16384" width="10.83203125" style="3"/>
  </cols>
  <sheetData>
    <row r="2" spans="1:15" ht="18" customHeight="1" x14ac:dyDescent="0.2">
      <c r="A2" s="2" t="s">
        <v>2</v>
      </c>
    </row>
    <row r="4" spans="1:15" ht="18" customHeight="1" x14ac:dyDescent="0.2">
      <c r="A4" s="15" t="e" vm="1">
        <v>#VALUE!</v>
      </c>
      <c r="B4" s="15"/>
      <c r="C4" s="15"/>
      <c r="E4" s="15" t="e" vm="2">
        <v>#VALUE!</v>
      </c>
      <c r="F4" s="15"/>
      <c r="G4" s="15"/>
      <c r="I4" s="15" t="e" vm="3">
        <v>#VALUE!</v>
      </c>
      <c r="J4" s="15"/>
      <c r="K4" s="15"/>
      <c r="M4" s="15" t="e" vm="4">
        <v>#VALUE!</v>
      </c>
      <c r="N4" s="15"/>
      <c r="O4" s="15"/>
    </row>
    <row r="5" spans="1:15" ht="18" customHeight="1" x14ac:dyDescent="0.2">
      <c r="A5" s="15"/>
      <c r="B5" s="15"/>
      <c r="C5" s="15"/>
      <c r="E5" s="15"/>
      <c r="F5" s="15"/>
      <c r="G5" s="15"/>
      <c r="I5" s="15"/>
      <c r="J5" s="15"/>
      <c r="K5" s="15"/>
      <c r="M5" s="15"/>
      <c r="N5" s="15"/>
      <c r="O5" s="15"/>
    </row>
    <row r="6" spans="1:15" ht="18" customHeight="1" x14ac:dyDescent="0.2">
      <c r="A6" s="15"/>
      <c r="B6" s="15"/>
      <c r="C6" s="15"/>
      <c r="E6" s="15"/>
      <c r="F6" s="15"/>
      <c r="G6" s="15"/>
      <c r="I6" s="15"/>
      <c r="J6" s="15"/>
      <c r="K6" s="15"/>
      <c r="M6" s="15"/>
      <c r="N6" s="15"/>
      <c r="O6" s="15"/>
    </row>
    <row r="7" spans="1:15" ht="18" customHeight="1" x14ac:dyDescent="0.2">
      <c r="A7" s="15"/>
      <c r="B7" s="15"/>
      <c r="C7" s="15"/>
      <c r="E7" s="15"/>
      <c r="F7" s="15"/>
      <c r="G7" s="15"/>
      <c r="I7" s="15"/>
      <c r="J7" s="15"/>
      <c r="K7" s="15"/>
      <c r="M7" s="15"/>
      <c r="N7" s="15"/>
      <c r="O7" s="15"/>
    </row>
    <row r="8" spans="1:15" ht="18" customHeight="1" x14ac:dyDescent="0.2">
      <c r="A8" s="15"/>
      <c r="B8" s="15"/>
      <c r="C8" s="15"/>
      <c r="E8" s="15"/>
      <c r="F8" s="15"/>
      <c r="G8" s="15"/>
      <c r="I8" s="15"/>
      <c r="J8" s="15"/>
      <c r="K8" s="15"/>
      <c r="M8" s="15"/>
      <c r="N8" s="15"/>
      <c r="O8" s="15"/>
    </row>
    <row r="10" spans="1:15" ht="18" customHeight="1" x14ac:dyDescent="0.2">
      <c r="A10" s="2" t="s">
        <v>3</v>
      </c>
    </row>
    <row r="12" spans="1:15" ht="18" customHeight="1" x14ac:dyDescent="0.2">
      <c r="A12" s="2" t="s">
        <v>4</v>
      </c>
      <c r="B12" s="2" t="s">
        <v>5</v>
      </c>
      <c r="C12" s="4"/>
    </row>
    <row r="13" spans="1:15" ht="18" customHeight="1" x14ac:dyDescent="0.2">
      <c r="A13" s="2" t="s">
        <v>7</v>
      </c>
      <c r="B13" s="2" t="s">
        <v>6</v>
      </c>
      <c r="C13" s="5"/>
    </row>
    <row r="14" spans="1:15" ht="18" customHeight="1" x14ac:dyDescent="0.2">
      <c r="A14" s="2" t="s">
        <v>8</v>
      </c>
      <c r="B14" s="2" t="s">
        <v>9</v>
      </c>
      <c r="C14" s="6"/>
    </row>
    <row r="16" spans="1:15" ht="18" customHeight="1" x14ac:dyDescent="0.2">
      <c r="A16" s="2" t="s">
        <v>10</v>
      </c>
      <c r="B16" s="2" t="s">
        <v>14</v>
      </c>
      <c r="C16" s="7"/>
    </row>
    <row r="17" spans="1:3" ht="18" customHeight="1" x14ac:dyDescent="0.2">
      <c r="A17" s="2" t="s">
        <v>12</v>
      </c>
      <c r="B17" s="2" t="s">
        <v>16</v>
      </c>
      <c r="C17" s="9"/>
    </row>
    <row r="18" spans="1:3" ht="18" customHeight="1" x14ac:dyDescent="0.2">
      <c r="A18" s="2" t="s">
        <v>13</v>
      </c>
      <c r="B18" s="2" t="s">
        <v>17</v>
      </c>
      <c r="C18" s="10"/>
    </row>
    <row r="19" spans="1:3" ht="18" customHeight="1" x14ac:dyDescent="0.2">
      <c r="A19" s="2" t="s">
        <v>11</v>
      </c>
      <c r="B19" s="2" t="s">
        <v>15</v>
      </c>
      <c r="C19" s="8"/>
    </row>
  </sheetData>
  <mergeCells count="4">
    <mergeCell ref="A4:C8"/>
    <mergeCell ref="E4:G8"/>
    <mergeCell ref="I4:K8"/>
    <mergeCell ref="M4:O8"/>
  </mergeCell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EA313B871F67438BF1F25B23A86624" ma:contentTypeVersion="10" ma:contentTypeDescription="Create a new document." ma:contentTypeScope="" ma:versionID="d09c2ac7e692661b95aa6fe961799b77">
  <xsd:schema xmlns:xsd="http://www.w3.org/2001/XMLSchema" xmlns:xs="http://www.w3.org/2001/XMLSchema" xmlns:p="http://schemas.microsoft.com/office/2006/metadata/properties" xmlns:ns2="3279025e-ae5d-46e2-b350-21240ff6f3ce" xmlns:ns3="fd9dbfb2-4c2b-4a93-a72b-68e1d8fc7ae5" targetNamespace="http://schemas.microsoft.com/office/2006/metadata/properties" ma:root="true" ma:fieldsID="002dc813470890673843d55c3e4dac6a" ns2:_="" ns3:_="">
    <xsd:import namespace="3279025e-ae5d-46e2-b350-21240ff6f3ce"/>
    <xsd:import namespace="fd9dbfb2-4c2b-4a93-a72b-68e1d8fc7ae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79025e-ae5d-46e2-b350-21240ff6f3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5543620-aabf-4cef-918e-f6658cd358e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d9dbfb2-4c2b-4a93-a72b-68e1d8fc7ae5"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295080-ff65-4868-a0dc-51e3fa810ab6}" ma:internalName="TaxCatchAll" ma:showField="CatchAllData" ma:web="fd9dbfb2-4c2b-4a93-a72b-68e1d8fc7a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79025e-ae5d-46e2-b350-21240ff6f3ce">
      <Terms xmlns="http://schemas.microsoft.com/office/infopath/2007/PartnerControls"/>
    </lcf76f155ced4ddcb4097134ff3c332f>
    <TaxCatchAll xmlns="fd9dbfb2-4c2b-4a93-a72b-68e1d8fc7ae5" xsi:nil="true"/>
  </documentManagement>
</p:properties>
</file>

<file path=customXml/itemProps1.xml><?xml version="1.0" encoding="utf-8"?>
<ds:datastoreItem xmlns:ds="http://schemas.openxmlformats.org/officeDocument/2006/customXml" ds:itemID="{E49B9F73-4C79-4757-A619-4E53B4BE11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79025e-ae5d-46e2-b350-21240ff6f3ce"/>
    <ds:schemaRef ds:uri="fd9dbfb2-4c2b-4a93-a72b-68e1d8fc7a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C395AB-3855-40EA-AAC1-8C2628604968}">
  <ds:schemaRefs>
    <ds:schemaRef ds:uri="http://schemas.microsoft.com/sharepoint/v3/contenttype/forms"/>
  </ds:schemaRefs>
</ds:datastoreItem>
</file>

<file path=customXml/itemProps3.xml><?xml version="1.0" encoding="utf-8"?>
<ds:datastoreItem xmlns:ds="http://schemas.openxmlformats.org/officeDocument/2006/customXml" ds:itemID="{F5218B8B-C094-477F-A197-56A50370788E}">
  <ds:schemaRefs>
    <ds:schemaRef ds:uri="http://purl.org/dc/dcmitype/"/>
    <ds:schemaRef ds:uri="http://purl.org/dc/terms/"/>
    <ds:schemaRef ds:uri="http://purl.org/dc/elements/1.1/"/>
    <ds:schemaRef ds:uri="fd9dbfb2-4c2b-4a93-a72b-68e1d8fc7ae5"/>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3279025e-ae5d-46e2-b350-21240ff6f3c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Cover</vt:lpstr>
      <vt:lpstr>Index</vt:lpstr>
      <vt:lpstr>Roadmap</vt:lpstr>
      <vt:lpstr>Tunning_Logic_01</vt:lpstr>
      <vt:lpstr>MST_TaskEfforts</vt:lpstr>
      <vt:lpstr>MST_Headcount</vt:lpstr>
      <vt:lpstr>ChangesHistory</vt:lpstr>
      <vt:lpstr>BrandKit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Danniel Nguyen</dc:creator>
  <cp:lastModifiedBy>Danniel Nguyen</cp:lastModifiedBy>
  <dcterms:created xsi:type="dcterms:W3CDTF">2026-04-07T14:22:17Z</dcterms:created>
  <dcterms:modified xsi:type="dcterms:W3CDTF">2026-04-22T13:33:55Z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0x010100D2EA313B871F67438BF1F25B23A86624</vt:lpwstr>
  </property>
  <property fmtid="{D5CDD505-2E9C-101B-9397-08002B2CF9AE}" pid="3" name="MediaServiceImageTags">
    <vt:lpwstr/>
  </property>
</Properties>
</file>